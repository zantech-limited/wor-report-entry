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imothy.adams\Downloads\"/>
    </mc:Choice>
  </mc:AlternateContent>
  <xr:revisionPtr revIDLastSave="0" documentId="13_ncr:1_{EAEA5D94-C529-4AE0-B3C7-62DC37AEBB84}" xr6:coauthVersionLast="47" xr6:coauthVersionMax="47" xr10:uidLastSave="{00000000-0000-0000-0000-000000000000}"/>
  <bookViews>
    <workbookView xWindow="-110" yWindow="-110" windowWidth="19420" windowHeight="11020" firstSheet="8" activeTab="8" xr2:uid="{7F74CEA5-5BFC-4570-B47A-097F97EDDB51}"/>
  </bookViews>
  <sheets>
    <sheet name="Sheet2" sheetId="5" state="hidden" r:id="rId1"/>
    <sheet name="Service Type Dist." sheetId="7" r:id="rId2"/>
    <sheet name="SLA Dist." sheetId="8" r:id="rId3"/>
    <sheet name="WO Dist. by Tech" sheetId="9" r:id="rId4"/>
    <sheet name="Revenue Breakdown" sheetId="15" r:id="rId5"/>
    <sheet name="Work Order Status" sheetId="17" r:id="rId6"/>
    <sheet name="Weekly WO Dist." sheetId="16" r:id="rId7"/>
    <sheet name="Payment Breakdown" sheetId="18" r:id="rId8"/>
    <sheet name="Master" sheetId="1" r:id="rId9"/>
    <sheet name="Weekly update" sheetId="20" r:id="rId10"/>
    <sheet name="PrefixMap" sheetId="21" r:id="rId11"/>
    <sheet name="Master (2)" sheetId="19" state="hidden" r:id="rId12"/>
  </sheets>
  <calcPr calcId="191028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 standalone="yes"?><c r="O7" i="1"/><c r="C4" i="1"/><c r="E5" i="20"/></calcChain>
</file>

<file path=xl/sharedStrings.xml><?xml version="1.0" encoding="utf-8"?>
<sst xmlns="http://schemas.openxmlformats.org/spreadsheetml/2006/main" count="4635" uniqueCount="1025">
  <si>
    <t>Row Labels</t>
  </si>
  <si>
    <t>Count of No.</t>
  </si>
  <si>
    <t>Cash</t>
  </si>
  <si>
    <t>PO</t>
  </si>
  <si>
    <t>Grand Total</t>
  </si>
  <si>
    <t>Install</t>
  </si>
  <si>
    <t>Issue</t>
  </si>
  <si>
    <t>PFS</t>
  </si>
  <si>
    <t>PM</t>
  </si>
  <si>
    <t>N/A</t>
  </si>
  <si>
    <t>Rental</t>
  </si>
  <si>
    <t>ServMaint</t>
  </si>
  <si>
    <t>Ainsley</t>
  </si>
  <si>
    <t/>
  </si>
  <si>
    <t>Herman</t>
  </si>
  <si>
    <t>Jessica</t>
  </si>
  <si>
    <t/>
  </si>
  <si>
    <t>Kyle</t>
  </si>
  <si>
    <t>Sum of Revenue ($)</t>
  </si>
  <si>
    <t>Completed</t>
  </si>
  <si>
    <t/>
  </si>
  <si>
    <t>No charge</t>
  </si>
  <si>
    <t>Monthly Service Report</t>
  </si>
  <si>
    <t xml:space="preserve">Date: </t>
  </si>
  <si>
    <t>Prepared by:</t>
  </si>
  <si>
    <t>Denys Kowlessar</t>
  </si>
  <si>
    <t xml:space="preserve">Month: </t>
  </si>
  <si>
    <t>No.</t>
  </si>
  <si>
    <t>WOR</t>
  </si>
  <si>
    <t>Date</t>
  </si>
  <si>
    <t>Customer</t>
  </si>
  <si>
    <t>Location</t>
  </si>
  <si>
    <t>Service Type</t>
  </si>
  <si>
    <t>SLA Type</t>
  </si>
  <si>
    <t>Model No.</t>
  </si>
  <si>
    <t>Serial No.</t>
  </si>
  <si>
    <t>Copycount</t>
  </si>
  <si>
    <t>Technician Assigned</t>
  </si>
  <si>
    <t>Arrival Time</t>
  </si>
  <si>
    <t>Departure Time</t>
  </si>
  <si>
    <t>Time Taken</t>
  </si>
  <si>
    <t>Parts Required</t>
  </si>
  <si>
    <t>Part  No.</t>
  </si>
  <si>
    <t>Description</t>
  </si>
  <si>
    <t>QTY</t>
  </si>
  <si>
    <t>IRO</t>
  </si>
  <si>
    <t>Payment Method</t>
  </si>
  <si>
    <t>Revenue ($)</t>
  </si>
  <si>
    <t>Job Status</t>
  </si>
  <si>
    <t>FTF</t>
  </si>
  <si>
    <t>Comments</t>
  </si>
  <si>
    <t/>
  </si>
  <si>
    <t/>
  </si>
  <si>
    <t/>
  </si>
  <si>
    <t/>
  </si>
  <si>
    <t/>
  </si>
  <si>
    <t>IR 1643iF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</si>
  <si>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</si>
  <si>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</si>
  <si>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</si>
  <si>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</si>
  <si>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</si>
  <si>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</si>
  <si>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</si>
  <si>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</si>
  <si>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</si>
  <si>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</si>
  <si>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</si>
  <si>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</si>
  <si>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</si>
  <si>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</si>
  <si>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</si>
  <si>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</si>
  <si>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</si>
  <si>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</si>
  <si>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IR 2525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</si>
  <si>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</si>
  <si>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</si>
  <si>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</si>
  <si>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</si>
  <si>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</si>
  <si>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</si>
  <si>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</si>
  <si>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</si>
  <si>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</si>
  <si>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</si>
  <si>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</si>
  <si>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</si>
  <si>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</si>
  <si>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</si>
  <si>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</si>
  <si>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IR 2630</t>
  </si>
  <si>
    <t/>
  </si>
  <si>
    <t/>
  </si>
  <si>
    <t/>
  </si>
  <si>
    <t>IR ADV 4245</t>
  </si>
  <si>
    <t/>
  </si>
  <si>
    <t/>
  </si>
  <si>
    <t>Joel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</si>
  <si>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</si>
  <si>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</si>
  <si>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</si>
  <si>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</si>
  <si>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</si>
  <si>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</si>
  <si>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</si>
  <si>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</si>
  <si>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</si>
  <si>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</si>
  <si>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</si>
  <si>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</si>
  <si>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</si>
  <si>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</si>
  <si>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</si>
  <si>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</si>
  <si>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</si>
  <si>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</si>
  <si>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IR 1435iF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</si>
  <si>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</si>
  <si>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</si>
  <si>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</si>
  <si>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</si>
  <si>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</si>
  <si>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</si>
  <si>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</si>
  <si>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</si>
  <si>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</si>
  <si>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</si>
  <si>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</si>
  <si>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XUW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</si>
  <si>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</si>
  <si>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</si>
  <si>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</si>
  <si>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</si>
  <si>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</si>
  <si>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</si>
  <si>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</si>
  <si>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</si>
  <si>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</si>
  <si>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</si>
  <si>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</si>
  <si>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</si>
  <si>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</si>
  <si>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IR ADV C3226i</t>
  </si>
  <si>
    <t/>
  </si>
  <si>
    <t/>
  </si>
  <si>
    <t/>
  </si>
  <si>
    <t/>
  </si>
  <si>
    <t/>
  </si>
  <si>
    <t/>
  </si>
  <si>
    <t/>
  </si>
  <si>
    <t/>
  </si>
  <si>
    <t>IR ADV C5535i</t>
  </si>
  <si>
    <t/>
  </si>
  <si>
    <t/>
  </si>
  <si>
    <t>IR ADV 4545i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</si>
  <si>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</si>
  <si>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</si>
  <si>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</si>
  <si>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</si>
  <si>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</si>
  <si>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</si>
  <si>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</si>
  <si>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</si>
  <si>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</si>
  <si>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</si>
  <si>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</si>
  <si>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</si>
  <si>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</si>
  <si>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</si>
  <si>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</si>
  <si>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</si>
  <si>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</si>
  <si>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</si>
  <si>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</si>
  <si>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</si>
  <si>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</si>
  <si>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</si>
  <si>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</si>
  <si>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</si>
  <si>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</si>
  <si>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</si>
  <si>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</si>
  <si>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</si>
  <si>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</si>
  <si>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</si>
  <si>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</si>
  <si>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</si>
  <si>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</si>
  <si>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</si>
  <si>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</si>
  <si>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</si>
  <si>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</si>
  <si>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</si>
  <si>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</si>
  <si>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</si>
  <si>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</si>
  <si>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</si>
  <si>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</si>
  <si>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</si>
  <si>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</si>
  <si>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</si>
  <si>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</si>
  <si>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</si>
  <si>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</si>
  <si>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</si>
  <si>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</si>
  <si>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</si>
  <si>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</si>
  <si>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</si>
  <si>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</si>
  <si>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</si>
  <si>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</si>
  <si>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</si>
  <si>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</si>
  <si>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</si>
  <si>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</si>
  <si>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</si>
  <si>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</si>
  <si>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</si>
  <si>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</si>
  <si>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</si>
  <si>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</si>
  <si>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</si>
  <si>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</si>
  <si>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</si>
  <si>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</si>
  <si>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</si>
  <si>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</si>
  <si>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</si>
  <si>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</si>
  <si>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</si>
  <si>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</si>
  <si>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</si>
  <si>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</si>
  <si>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</si>
  <si>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</si>
  <si>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</si>
  <si>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</si>
  <si>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</si>
  <si>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</si>
  <si>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</si>
  <si>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</si>
  <si>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</si>
  <si>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</si>
  <si>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</si>
  <si>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</si>
  <si>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</si>
  <si>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</si>
  <si>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</si>
  <si>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IR ADV 400iF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</si>
  <si>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</si>
  <si>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</si>
  <si>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</si>
  <si>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</si>
  <si>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</si>
  <si>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</si>
  <si>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</si>
  <si>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</si>
  <si>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</si>
  <si>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</si>
  <si>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</si>
  <si>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</si>
  <si>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</si>
  <si>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</si>
  <si>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</si>
  <si>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</si>
  <si>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</si>
  <si>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</si>
  <si>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</si>
  <si>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</si>
  <si>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</si>
  <si>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</si>
  <si>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</si>
  <si>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</si>
  <si>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</si>
  <si>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</si>
  <si>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</si>
  <si>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</si>
  <si>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</si>
  <si>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</si>
  <si>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</si>
  <si>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</si>
  <si>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</si>
  <si>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</si>
  <si>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</si>
  <si>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</si>
  <si>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</si>
  <si>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</si>
  <si>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</si>
  <si>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</si>
  <si>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</si>
  <si>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</si>
  <si>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</si>
  <si>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</si>
  <si>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</si>
  <si>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</si>
  <si>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</si>
  <si>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</si>
  <si>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</si>
  <si>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</si>
  <si>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</si>
  <si>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</si>
  <si>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</si>
  <si>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</si>
  <si>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</si>
  <si>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</si>
  <si>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</si>
  <si>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</si>
  <si>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</si>
  <si>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</si>
  <si>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</si>
  <si>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</si>
  <si>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</si>
  <si>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</si>
  <si>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</si>
  <si>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</si>
  <si>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</si>
  <si>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</si>
  <si>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</si>
  <si>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</si>
  <si>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</si>
  <si>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</si>
  <si>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</si>
  <si>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</si>
  <si>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</si>
  <si>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</si>
  <si>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</si>
  <si>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</si>
  <si>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</si>
  <si>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</si>
  <si>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</si>
  <si>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</si>
  <si>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</si>
  <si>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</si>
  <si>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</si>
  <si>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</si>
  <si>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</si>
  <si>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</si>
  <si>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</si>
  <si>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</si>
  <si>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</si>
  <si>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</si>
  <si>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</si>
  <si>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</si>
  <si>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</si>
  <si>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</si>
  <si>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</si>
  <si>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</si>
  <si>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</si>
  <si>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</si>
  <si>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</si>
  <si>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</si>
  <si>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</si>
  <si>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WG7140</t>
  </si>
  <si>
    <t/>
  </si>
  <si>
    <t/>
  </si>
  <si>
    <t/>
  </si>
  <si>
    <t/>
  </si>
  <si>
    <t/>
  </si>
  <si>
    <t/>
  </si>
  <si>
    <t>IR ADV C5540i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</si>
  <si>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</si>
  <si>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</si>
  <si>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</si>
  <si>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</si>
  <si>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</si>
  <si>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</si>
  <si>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</si>
  <si>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</si>
  <si>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</si>
  <si>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</si>
  <si>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</si>
  <si>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</si>
  <si>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</si>
  <si>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</si>
  <si>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</si>
  <si>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</si>
  <si>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</si>
  <si>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</si>
  <si>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</si>
  <si>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</si>
  <si>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</si>
  <si>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</si>
  <si>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</si>
  <si>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</si>
  <si>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</si>
  <si>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</si>
  <si>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</si>
  <si>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</si>
  <si>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</si>
  <si>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</si>
  <si>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</si>
  <si>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</si>
  <si>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</si>
  <si>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</si>
  <si>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</si>
  <si>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</si>
  <si>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</si>
  <si>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</si>
  <si>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</si>
  <si>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</si>
  <si>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</si>
  <si>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</si>
  <si>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</si>
  <si>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</si>
  <si>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</si>
  <si>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</si>
  <si>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</si>
  <si>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</si>
  <si>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</si>
  <si>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</si>
  <si>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</si>
  <si>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</si>
  <si>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</si>
  <si>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</si>
  <si>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</si>
  <si>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</si>
  <si>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</si>
  <si>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</si>
  <si>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</si>
  <si>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</si>
  <si>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</si>
  <si>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</si>
  <si>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</si>
  <si>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</si>
  <si>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</si>
  <si>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</si>
  <si>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</si>
  <si>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</si>
  <si>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</si>
  <si>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</si>
  <si>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</si>
  <si>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</si>
  <si>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</si>
  <si>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</si>
  <si>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</si>
  <si>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</si>
  <si>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</si>
  <si>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</si>
  <si>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</si>
  <si>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</si>
  <si>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</si>
  <si>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</si>
  <si>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</si>
  <si>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</si>
  <si>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</si>
  <si>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</si>
  <si>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MF 8580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</si>
  <si>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</si>
  <si>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</si>
  <si>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</si>
  <si>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</si>
  <si>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</si>
  <si>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</si>
  <si>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</si>
  <si>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</si>
  <si>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</si>
  <si>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</si>
  <si>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</si>
  <si>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</si>
  <si>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</si>
  <si>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</si>
  <si>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</si>
  <si>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</si>
  <si>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</si>
  <si>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</si>
  <si>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</si>
  <si>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</si>
  <si>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</si>
  <si>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</si>
  <si>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</si>
  <si>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</si>
  <si>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</si>
  <si>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</si>
  <si>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</si>
  <si>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</si>
  <si>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</si>
  <si>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</si>
  <si>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</si>
  <si>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</si>
  <si>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</si>
  <si>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</si>
  <si>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</si>
  <si>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</si>
  <si>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</si>
  <si>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</si>
  <si>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</si>
  <si>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</si>
  <si>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</si>
  <si>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</si>
  <si>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</si>
  <si>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</si>
  <si>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</si>
  <si>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</si>
  <si>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</si>
  <si>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</si>
  <si>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</si>
  <si>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</si>
  <si>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</si>
  <si>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</si>
  <si>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</si>
  <si>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</si>
  <si>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</si>
  <si>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</si>
  <si>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</si>
  <si>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</si>
  <si>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</si>
  <si>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</si>
  <si>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</si>
  <si>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</si>
  <si>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</si>
  <si>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</si>
  <si>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</si>
  <si>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</si>
  <si>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</si>
  <si>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</si>
  <si>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</si>
  <si>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</si>
  <si>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</si>
  <si>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</si>
  <si>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</si>
  <si>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</si>
  <si>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</si>
  <si>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</si>
  <si>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</si>
  <si>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</si>
  <si>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</si>
  <si>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</si>
  <si>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</si>
  <si>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</si>
  <si>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</si>
  <si>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</si>
  <si>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</si>
  <si>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</si>
  <si>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</si>
  <si>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</si>
  <si>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Nafees</t>
  </si>
  <si>
    <t>Service</t>
  </si>
  <si>
    <t>Secondary Tech</t>
  </si>
  <si>
    <t>IR ADV DX 4745i</t>
  </si>
  <si>
    <t>IR ADV 4545i II</t>
  </si>
  <si>
    <t>IR ADV DX C3826i</t>
  </si>
  <si>
    <t>IR ADV 4525i III</t>
  </si>
  <si>
    <t>IR C3326i</t>
  </si>
  <si>
    <t>IR ADV DX C3730i</t>
  </si>
  <si>
    <t>IR ADV DX C5850i</t>
  </si>
  <si>
    <t>IR ADV C3525i III</t>
  </si>
  <si>
    <t>IR ADV C3325i</t>
  </si>
  <si>
    <t>IR ADV C5535i II</t>
  </si>
  <si>
    <t>IR ADV DX 529iF</t>
  </si>
  <si>
    <t>IR ADV C3525i II</t>
  </si>
  <si>
    <t>IR ADV DX C3930i</t>
  </si>
  <si>
    <t>IR ADV C5535i III</t>
  </si>
  <si>
    <t>IR ADV DX C3926i</t>
  </si>
  <si>
    <t>IR ADV C5560i II</t>
  </si>
  <si>
    <t>IR ADV DX 4845i</t>
  </si>
  <si>
    <t>IR ADV DX C5735i</t>
  </si>
  <si>
    <t>IR ADV DX C5840i</t>
  </si>
  <si>
    <t>IR ADV DX 4725i</t>
  </si>
  <si>
    <t>IR C3226i</t>
  </si>
  <si>
    <t>Kisan Mini</t>
  </si>
  <si>
    <t>IR ADV 6565I</t>
  </si>
  <si>
    <t>IR ADV C5560I</t>
  </si>
  <si>
    <t>IR ADV DX 4925i</t>
  </si>
  <si>
    <t>IR ADV C5540i III</t>
  </si>
  <si>
    <t>IR 1643iF II</t>
  </si>
  <si>
    <t>IR ADV DX 4935i</t>
  </si>
  <si>
    <t>IR ADV DX C3830i</t>
  </si>
  <si>
    <t>PIXMA G3160</t>
  </si>
  <si>
    <t>IR ADV C5255</t>
  </si>
  <si>
    <t>IR ADV DX C3935i</t>
  </si>
  <si>
    <t>IR ADV DX C257iF</t>
  </si>
  <si>
    <t>IR ADV DX 527iF</t>
  </si>
  <si>
    <t>4GN</t>
  </si>
  <si>
    <t>A (Prefix)</t>
  </si>
  <si>
    <t>B (Model)</t>
  </si>
  <si>
    <t>XTK</t>
  </si>
  <si>
    <t>2XW</t>
  </si>
  <si>
    <t>2UR</t>
  </si>
  <si>
    <t>32M</t>
  </si>
  <si>
    <t>25J</t>
  </si>
  <si>
    <t>3GA</t>
  </si>
  <si>
    <t>QTW</t>
  </si>
  <si>
    <t>N22</t>
  </si>
  <si>
    <t>3BN</t>
  </si>
  <si>
    <t>4TV</t>
  </si>
  <si>
    <t>SMJ</t>
  </si>
  <si>
    <t>XLJ</t>
  </si>
  <si>
    <t>WXC</t>
  </si>
  <si>
    <t>2RW</t>
  </si>
  <si>
    <t>4NB</t>
  </si>
  <si>
    <t>2KK</t>
  </si>
  <si>
    <t>2GH</t>
  </si>
  <si>
    <t>4MK</t>
  </si>
  <si>
    <t>4PL</t>
  </si>
  <si>
    <t>2JV</t>
  </si>
  <si>
    <t>34W</t>
  </si>
  <si>
    <t>4AF</t>
  </si>
  <si>
    <t>XVR</t>
  </si>
  <si>
    <t>4TH</t>
  </si>
  <si>
    <t>4CD</t>
  </si>
  <si>
    <t>4BT</t>
  </si>
  <si>
    <t>4LY</t>
  </si>
  <si>
    <t>FRU</t>
  </si>
  <si>
    <t>KNX</t>
  </si>
  <si>
    <t>JMB</t>
  </si>
  <si>
    <t>4LM</t>
  </si>
  <si>
    <t>4QS</t>
  </si>
  <si>
    <t>23D</t>
  </si>
  <si>
    <t>IR ADV DX 8995i</t>
  </si>
  <si>
    <t>27Y</t>
  </si>
  <si>
    <t>XTZ</t>
  </si>
  <si>
    <t>IR ADV C3530i III</t>
  </si>
  <si>
    <t>2GU</t>
  </si>
  <si>
    <t>2YJ</t>
  </si>
  <si>
    <t>RKM</t>
  </si>
  <si>
    <t>imageCLASS X MF1538C</t>
  </si>
  <si>
    <t>4UN</t>
  </si>
  <si>
    <t>IR ADV C5535I</t>
  </si>
  <si>
    <t>IR ADV C3530i II</t>
  </si>
  <si>
    <t>XTD</t>
  </si>
  <si>
    <t>IR ADV 6565i III</t>
  </si>
  <si>
    <t>2LN</t>
  </si>
  <si>
    <t>RMU</t>
  </si>
  <si>
    <t>WXF</t>
  </si>
  <si>
    <t>IR ADV C5235 UL</t>
  </si>
  <si>
    <t>JWH</t>
  </si>
  <si>
    <t>imageCLASS X MF1333C</t>
  </si>
  <si>
    <t>3VT</t>
  </si>
  <si>
    <t>RZJ</t>
  </si>
  <si>
    <t>imageCLASS X MF1127C</t>
  </si>
  <si>
    <t>MF1</t>
  </si>
  <si>
    <t>IR ADV C250iF</t>
  </si>
  <si>
    <t>QNR</t>
  </si>
  <si>
    <t>KMX</t>
  </si>
  <si>
    <t>IR ADV 4545i III</t>
  </si>
  <si>
    <t>2QD</t>
  </si>
  <si>
    <t>imagePROGRAF TM-300</t>
  </si>
  <si>
    <t>BAC</t>
  </si>
  <si>
    <t>IR ADV DX C357iF</t>
  </si>
  <si>
    <t>4QV</t>
  </si>
  <si>
    <t>IR ADV 525iF III</t>
  </si>
  <si>
    <t>2WQ</t>
  </si>
  <si>
    <t>LBP 6030w</t>
  </si>
  <si>
    <t>NTG</t>
  </si>
  <si>
    <t>SSP1-ELITE155</t>
  </si>
  <si>
    <t>IR ADV 4525i II</t>
  </si>
  <si>
    <t>XWH</t>
  </si>
  <si>
    <t>QLA</t>
  </si>
  <si>
    <t>IR ADV DX 4825i</t>
  </si>
  <si>
    <t>4TX</t>
  </si>
  <si>
    <t>RRB</t>
  </si>
  <si>
    <t>Quantum 21</t>
  </si>
  <si>
    <t>IR ADV DX C3725i</t>
  </si>
  <si>
    <t>2UA</t>
  </si>
  <si>
    <t>IR ADV 8585i</t>
  </si>
  <si>
    <t>XQZ</t>
  </si>
  <si>
    <t>IR ADV 6565i</t>
  </si>
  <si>
    <t>XNF</t>
  </si>
  <si>
    <t>2VD</t>
  </si>
  <si>
    <t>imageCLASS MF753Cdw</t>
  </si>
  <si>
    <t>3WB</t>
  </si>
  <si>
    <t>IR ADV C5030</t>
  </si>
  <si>
    <t>GNG</t>
  </si>
  <si>
    <t>K3A</t>
  </si>
  <si>
    <t>S21</t>
  </si>
  <si>
    <t>TM300</t>
  </si>
  <si>
    <t>BAL</t>
  </si>
  <si>
    <t>TellerScan TS240</t>
  </si>
  <si>
    <t>2KJ</t>
  </si>
  <si>
    <t>Kisan K6</t>
  </si>
  <si>
    <t>K23</t>
  </si>
  <si>
    <t>QUANTUM 21</t>
  </si>
  <si>
    <t>S22</t>
  </si>
  <si>
    <t>IR ADV DX 6780i</t>
  </si>
  <si>
    <t>27P</t>
  </si>
  <si>
    <t>UMV</t>
  </si>
  <si>
    <t>IR ADV C5540I</t>
  </si>
  <si>
    <t>WHG</t>
  </si>
  <si>
    <t>WXE</t>
  </si>
  <si>
    <t>IR ADV C5560i III</t>
  </si>
  <si>
    <t>2HT</t>
  </si>
  <si>
    <t>25Z</t>
  </si>
  <si>
    <t>IR ADV DX 6860i</t>
  </si>
  <si>
    <t>3MJ</t>
  </si>
  <si>
    <t>HP LAPTOP 15</t>
  </si>
  <si>
    <t>CND</t>
  </si>
  <si>
    <t>imageCLASS MF729CDW</t>
  </si>
  <si>
    <t>TWU</t>
  </si>
  <si>
    <t>3FY</t>
  </si>
  <si>
    <t>4BA</t>
  </si>
  <si>
    <t>IR 1435iF+</t>
  </si>
  <si>
    <t>YDB</t>
  </si>
  <si>
    <t>3CE</t>
  </si>
  <si>
    <t>IR ADV DX C5860i</t>
  </si>
  <si>
    <t>2XK</t>
  </si>
  <si>
    <t>IR ADV DX 6980i</t>
  </si>
  <si>
    <t>3UE</t>
  </si>
  <si>
    <t>IR ADV DX C3835i</t>
  </si>
  <si>
    <t>3FX</t>
  </si>
  <si>
    <t>IR ADV DX 4945i</t>
  </si>
  <si>
    <t>4NS</t>
  </si>
  <si>
    <t>IR ADV 8505i III</t>
  </si>
  <si>
    <t>YGS</t>
  </si>
  <si>
    <t>YFF</t>
  </si>
  <si>
    <t>iR ADV DX 8705i</t>
  </si>
  <si>
    <t>KRH</t>
  </si>
  <si>
    <t>PIXMA G3270</t>
  </si>
  <si>
    <t>4DE</t>
  </si>
  <si>
    <t>imageCLASS MF455dw</t>
  </si>
  <si>
    <t>3RD</t>
  </si>
  <si>
    <t>imageCLASS MF656Cdw</t>
  </si>
  <si>
    <t>YKQ</t>
  </si>
  <si>
    <t>imagePROGRAF PRO-4100</t>
  </si>
  <si>
    <t>BAP</t>
  </si>
  <si>
    <t>4TA</t>
  </si>
  <si>
    <t>IR ADV 500iF</t>
  </si>
  <si>
    <t>QLL</t>
  </si>
  <si>
    <t>4TK</t>
  </si>
  <si>
    <t>XLN</t>
  </si>
  <si>
    <t>MAXIFY MB5410</t>
  </si>
  <si>
    <t>AEN</t>
  </si>
  <si>
    <t>IR C250</t>
  </si>
  <si>
    <t>QWR</t>
  </si>
  <si>
    <t>IR ADV DX C478iF</t>
  </si>
  <si>
    <t>3LN</t>
  </si>
  <si>
    <t>IIR ADV C5550 I</t>
  </si>
  <si>
    <t>WXD</t>
  </si>
  <si>
    <t>Canon DR</t>
  </si>
  <si>
    <t>EX3</t>
  </si>
  <si>
    <t>MF65CDW</t>
  </si>
  <si>
    <t>4KQ</t>
  </si>
  <si>
    <t>IR ADV 6555i III</t>
  </si>
  <si>
    <t>2LP</t>
  </si>
  <si>
    <t>Digital Check</t>
  </si>
  <si>
    <t>DS 200</t>
  </si>
  <si>
    <t>DS2</t>
  </si>
  <si>
    <t>44Q</t>
  </si>
  <si>
    <t>MF 8350</t>
  </si>
  <si>
    <t>HXY</t>
  </si>
  <si>
    <t>IR  1325iF</t>
  </si>
  <si>
    <t>RMB</t>
  </si>
  <si>
    <t>PXK</t>
  </si>
  <si>
    <t>N24</t>
  </si>
  <si>
    <t>Maxify GX4010</t>
  </si>
  <si>
    <t>KNW</t>
  </si>
  <si>
    <t>TX 4000</t>
  </si>
  <si>
    <t>BHH</t>
  </si>
  <si>
    <t>CA-190</t>
  </si>
  <si>
    <t>JLY</t>
  </si>
  <si>
    <t>IR ADV 5550 III</t>
  </si>
  <si>
    <t>2JH</t>
  </si>
  <si>
    <t>32U</t>
  </si>
  <si>
    <t>IR ADV DX C259iF</t>
  </si>
  <si>
    <t>4JB</t>
  </si>
  <si>
    <t>IR ADV C5540i II</t>
  </si>
  <si>
    <t>XUP</t>
  </si>
  <si>
    <t>35B</t>
  </si>
  <si>
    <t>IR 1023</t>
  </si>
  <si>
    <t>THY</t>
  </si>
  <si>
    <t>IR ADV C5235A</t>
  </si>
  <si>
    <t>IR ADV 4045</t>
  </si>
  <si>
    <t>HRN</t>
  </si>
  <si>
    <t>QLK</t>
  </si>
  <si>
    <t>IR ADV DX C359iF</t>
  </si>
  <si>
    <t>4HU</t>
  </si>
  <si>
    <t>PIXMA G7020</t>
  </si>
  <si>
    <t>KML</t>
  </si>
  <si>
    <t>IR ADV C3530i</t>
  </si>
  <si>
    <t>XT0</t>
  </si>
  <si>
    <t>MF 751cdw</t>
  </si>
  <si>
    <t>3WG</t>
  </si>
  <si>
    <t>2TP</t>
  </si>
  <si>
    <t>IR 1025IF</t>
  </si>
  <si>
    <t>DRL</t>
  </si>
  <si>
    <t>EPSON BRIGHTLITE 1485Fi+</t>
  </si>
  <si>
    <t>X97</t>
  </si>
  <si>
    <t xml:space="preserve">	IR ADV C5035</t>
  </si>
  <si>
    <t>GNW</t>
  </si>
  <si>
    <t>WHE</t>
  </si>
  <si>
    <t>imageCLASS MF653cdw</t>
  </si>
  <si>
    <t>YKV</t>
  </si>
  <si>
    <t>imageCLASS MF644cdw</t>
  </si>
  <si>
    <t>3QK</t>
  </si>
  <si>
    <t>MF735cdw</t>
  </si>
  <si>
    <t>WTL</t>
  </si>
  <si>
    <t>IR ADV 6555i</t>
  </si>
  <si>
    <t>SKA</t>
  </si>
  <si>
    <t>DR-G2110</t>
  </si>
  <si>
    <t>JG3</t>
  </si>
  <si>
    <t>2XX</t>
  </si>
  <si>
    <t>G3110</t>
  </si>
  <si>
    <t>KNG</t>
  </si>
  <si>
    <t>EPSON T88-V</t>
  </si>
  <si>
    <t>MXD</t>
  </si>
  <si>
    <t>IR ADV C3326</t>
  </si>
  <si>
    <t>4CQ</t>
  </si>
  <si>
    <t>imageFORCE C5140</t>
  </si>
  <si>
    <t>4GQ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</si>
  <si>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</si>
  <si>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</si>
  <si>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</si>
  <si>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</si>
  <si>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</si>
  <si>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</si>
  <si>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</si>
  <si>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</si>
  <si>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</si>
  <si>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</si>
  <si>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</si>
  <si>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</si>
  <si>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</si>
  <si>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</si>
  <si>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</si>
  <si>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</si>
  <si>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</si>
  <si>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</si>
  <si>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</si>
  <si>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</si>
  <si>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</si>
  <si>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</si>
  <si>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</si>
  <si>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</si>
  <si>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</si>
  <si>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</si>
  <si>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</si>
  <si>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</si>
  <si>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</si>
  <si>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</si>
  <si>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</si>
  <si>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</si>
  <si>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</si>
  <si>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</si>
  <si>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</si>
  <si>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</si>
  <si>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</si>
  <si>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</si>
  <si>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</si>
  <si>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</si>
  <si>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</si>
  <si>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</si>
  <si>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</si>
  <si>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</si>
  <si>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</si>
  <si>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</si>
  <si>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</si>
  <si>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</si>
  <si>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</si>
  <si>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</si>
  <si>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</si>
  <si>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</si>
  <si>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</si>
  <si>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</si>
  <si>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</si>
  <si>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</si>
  <si>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</si>
  <si>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</si>
  <si>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</si>
  <si>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</si>
  <si>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</si>
  <si>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</si>
  <si>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</si>
  <si>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</si>
  <si>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</si>
  <si>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</si>
  <si>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</si>
  <si>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</si>
  <si>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</si>
  <si>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</si>
  <si>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</si>
  <si>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</si>
  <si>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</si>
  <si>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</si>
  <si>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</si>
  <si>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</si>
  <si>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</si>
  <si>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</si>
  <si>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</si>
  <si>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</si>
  <si>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</si>
  <si>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</si>
  <si>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</si>
  <si>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</si>
  <si>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</si>
  <si>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</si>
  <si>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</si>
  <si>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</si>
  <si>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</si>
  <si>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</si>
  <si>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</si>
  <si>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</si>
  <si>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</si>
  <si>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</si>
  <si>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</si>
  <si>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</si>
  <si>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</si>
  <si>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</si>
  <si>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</si>
  <si>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</si>
  <si>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</si>
  <si>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</si>
  <si>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</si>
  <si>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</si>
  <si>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</si>
  <si>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</si>
  <si>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</si>
  <si>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</si>
  <si>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</si>
  <si>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</si>
  <si>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</si>
  <si>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</si>
  <si>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</si>
  <si>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</si>
  <si>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</si>
  <si>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</si>
  <si>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</si>
  <si>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</si>
  <si>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</si>
  <si>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</si>
  <si>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</si>
  <si>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</si>
  <si>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</si>
  <si>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</si>
  <si>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</si>
  <si>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</si>
  <si>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</si>
  <si>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</si>
  <si>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</si>
  <si>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</si>
  <si>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</si>
  <si>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</si>
  <si>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</si>
  <si>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</si>
  <si>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</si>
  <si>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</si>
  <si>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</si>
  <si>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</si>
  <si>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</si>
  <si>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</si>
  <si>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</si>
  <si>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</si>
  <si>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</si>
  <si>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</si>
  <si>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</si>
  <si>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</si>
  <si>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</si>
  <si>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</si>
  <si>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</si>
  <si>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</si>
  <si>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imageFORCE 710F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</si>
  <si>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</si>
  <si>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</si>
  <si>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</si>
  <si>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</si>
  <si>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</si>
  <si>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</si>
  <si>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</si>
  <si>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</si>
  <si>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</si>
  <si>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</si>
  <si>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</si>
  <si>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</si>
  <si>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</si>
  <si>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</si>
  <si>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48J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</si>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</sst>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409]d\-mmm\-yy;@"/>
    <numFmt numFmtId="166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left"/>
    </xf>
    <xf numFmtId="17" fontId="1" fillId="0" borderId="1" xfId="0" applyNumberFormat="1" applyFont="1" applyBorder="1" applyAlignment="1">
      <alignment horizontal="left"/>
    </xf>
    <xf numFmtId="166" fontId="0" fillId="0" borderId="0" xfId="0" applyNumberFormat="1"/>
    <xf numFmtId="3" fontId="0" fillId="0" borderId="0" xfId="0" applyNumberFormat="1"/>
    <xf numFmtId="0" fontId="1" fillId="0" borderId="0" xfId="0" applyFont="1"/>
    <xf numFmtId="0" fontId="1" fillId="0" borderId="6" xfId="0" applyFont="1" applyBorder="1"/>
    <xf numFmtId="0" fontId="1" fillId="0" borderId="5" xfId="0" applyFont="1" applyBorder="1"/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0" xfId="0" pivotButton="1"/>
    <xf numFmtId="10" fontId="0" fillId="0" borderId="0" xfId="0" applyNumberFormat="1"/>
    <xf numFmtId="3" fontId="0" fillId="0" borderId="0" xfId="0" applyNumberFormat="1" applyAlignment="1">
      <alignment wrapText="1"/>
    </xf>
    <xf numFmtId="18" fontId="0" fillId="0" borderId="0" xfId="0" applyNumberFormat="1"/>
    <xf numFmtId="165" fontId="0" fillId="0" borderId="0" xfId="0" applyNumberFormat="1" applyAlignment="1">
      <alignment horizontal="left"/>
    </xf>
    <xf numFmtId="2" fontId="0" fillId="0" borderId="0" xfId="0" applyNumberFormat="1"/>
    <xf numFmtId="166" fontId="0" fillId="0" borderId="0" xfId="0" applyNumberFormat="1" applyAlignment="1">
      <alignment horizontal="center"/>
    </xf>
    <xf numFmtId="166" fontId="3" fillId="0" borderId="0" xfId="0" applyNumberFormat="1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wrapText="1"/>
    </xf>
    <xf numFmtId="0" fontId="0" fillId="2" borderId="0" xfId="0" applyFill="1"/>
    <xf numFmtId="1" fontId="0" fillId="0" borderId="0" xfId="0" applyNumberForma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6" formatCode="&quot;$&quot;#,##0.00"/>
    </dxf>
    <dxf>
      <numFmt numFmtId="164" formatCode="[$-409]h:mm\ AM/PM;@"/>
    </dxf>
    <dxf>
      <numFmt numFmtId="164" formatCode="[$-409]h:mm\ AM/P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\-yy;@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alignment horizontal="center" vertical="bottom" textRotation="0" wrapText="0" indent="0" justifyLastLine="0" shrinkToFit="0" readingOrder="0"/>
    </dxf>
    <dxf>
      <numFmt numFmtId="166" formatCode="&quot;$&quot;#,##0.00"/>
      <alignment horizontal="center" vertical="bottom" textRotation="0" wrapText="0" indent="0" justifyLastLine="0" shrinkToFit="0" readingOrder="0"/>
    </dxf>
    <dxf>
      <numFmt numFmtId="165" formatCode="[$-409]d\-mmm\-yy;@"/>
    </dxf>
    <dxf>
      <numFmt numFmtId="165" formatCode="[$-409]d\-mmm\-yy;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6" formatCode="&quot;$&quot;#,##0.00"/>
    </dxf>
    <dxf>
      <alignment horizontal="general" vertical="bottom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numFmt numFmtId="2" formatCode="0.00"/>
    </dxf>
    <dxf>
      <numFmt numFmtId="164" formatCode="[$-409]h:mm\ AM/PM;@"/>
    </dxf>
    <dxf>
      <numFmt numFmtId="164" formatCode="[$-409]h:mm\ AM/PM;@"/>
    </dxf>
    <dxf>
      <numFmt numFmtId="3" formatCode="#,##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\-yy;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[Monthly Service Report Timothy Adams Aug 26.xlsm]Sheet2!PivotTable7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 Breakdown of</a:t>
            </a:r>
            <a:r>
              <a:rPr lang="en-US" baseline="0"/>
              <a:t> Work Orders for Decermber 2021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2">
              <a:shade val="58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2">
              <a:shade val="86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</c:pivotFmt>
      <c:pivotFmt>
        <c:idx val="4"/>
        <c:spPr>
          <a:solidFill>
            <a:schemeClr val="accent2">
              <a:shade val="86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2">
              <a:tint val="58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effectLst/>
          </c:spPr>
          <c:dPt>
            <c:idx val="0"/>
            <c:bubble3D val="0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D03-4613-A9E0-8A9F40511CAE}"/>
              </c:ext>
            </c:extLst>
          </c:dPt>
          <c:dPt>
            <c:idx val="1"/>
            <c:bubble3D val="0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D03-4613-A9E0-8A9F40511CAE}"/>
              </c:ext>
            </c:extLst>
          </c:dPt>
          <c:dPt>
            <c:idx val="2"/>
            <c:bubble3D val="0"/>
            <c:spPr>
              <a:solidFill>
                <a:schemeClr val="accent2">
                  <a:tint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D03-4613-A9E0-8A9F40511CAE}"/>
              </c:ext>
            </c:extLst>
          </c:dPt>
          <c:dPt>
            <c:idx val="3"/>
            <c:bubble3D val="0"/>
            <c:spPr>
              <a:solidFill>
                <a:schemeClr val="accent2">
                  <a:tint val="84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D03-4613-A9E0-8A9F40511CA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Sheet2!$A$4:$A$6</c:f>
              <c:strCache>
                <c:ptCount val="2"/>
                <c:pt idx="0">
                  <c:v>Cash</c:v>
                </c:pt>
                <c:pt idx="1">
                  <c:v>PO</c:v>
                </c:pt>
              </c:strCache>
            </c:strRef>
          </c:cat>
          <c:val>
            <c:numRef>
              <c:f>Sheet2!$B$4:$B$6</c:f>
              <c:numCache>
                <c:formatCode>0.00%</c:formatCode>
                <c:ptCount val="2"/>
                <c:pt idx="0">
                  <c:v>0.81818181818181823</c:v>
                </c:pt>
                <c:pt idx="1">
                  <c:v>0.18181818181818182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D3-4A44-A1F8-4B8D5D4FF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Service Report Timothy Adams Aug 26.xlsm]Service Type Dist.!PivotTable9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Service Type Distribution for January 2025.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'Service Type Dist.'!$B$3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'Service Type Dist.'!$A$4:$A$9</c:f>
              <c:strCache>
                <c:ptCount val="5"/>
                <c:pt idx="0">
                  <c:v>Install</c:v>
                </c:pt>
                <c:pt idx="1">
                  <c:v>Issue</c:v>
                </c:pt>
                <c:pt idx="2">
                  <c:v>PFS</c:v>
                </c:pt>
                <c:pt idx="3">
                  <c:v>PM</c:v>
                </c:pt>
                <c:pt idx="4">
                  <c:v>Service</c:v>
                </c:pt>
              </c:strCache>
            </c:strRef>
          </c:cat>
          <c:val>
            <c:numRef>
              <c:f>'Service Type Dist.'!$B$4:$B$9</c:f>
              <c:numCache>
                <c:formatCode>0.00%</c:formatCode>
                <c:ptCount val="5"/>
                <c:pt idx="0">
                  <c:v>0.17293233082706766</c:v>
                </c:pt>
                <c:pt idx="1">
                  <c:v>0.44360902255639095</c:v>
                </c:pt>
                <c:pt idx="2">
                  <c:v>0.13533834586466165</c:v>
                </c:pt>
                <c:pt idx="3">
                  <c:v>0.23308270676691728</c:v>
                </c:pt>
                <c:pt idx="4">
                  <c:v>1.5037593984962405E-2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F-4ACC-8638-D761FCDF1F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2826047"/>
        <c:axId val="2112825215"/>
      </c:barChart>
      <c:catAx>
        <c:axId val="21128260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Service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825215"/>
        <c:crosses val="autoZero"/>
        <c:auto val="1"/>
        <c:lblAlgn val="ctr"/>
        <c:lblOffset val="100"/>
        <c:noMultiLvlLbl val="0"/>
      </c:catAx>
      <c:valAx>
        <c:axId val="211282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Work Orders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826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Service Report Timothy Adams Aug 26.xlsm]SLA Dist.!PivotTable10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SLA Type Distribution for February 2025.</a:t>
            </a:r>
          </a:p>
        </c:rich>
      </c:tx>
      <c:layout>
        <c:manualLayout>
          <c:xMode val="edge"/>
          <c:yMode val="edge"/>
          <c:x val="0.19616666666666668"/>
          <c:y val="2.21274424030329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'SLA Dist.'!$B$3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'SLA Dist.'!$A$4:$A$7</c:f>
              <c:strCache>
                <c:ptCount val="3"/>
                <c:pt idx="0">
                  <c:v>N/A</c:v>
                </c:pt>
                <c:pt idx="1">
                  <c:v>Rental</c:v>
                </c:pt>
                <c:pt idx="2">
                  <c:v>ServMaint</c:v>
                </c:pt>
              </c:strCache>
            </c:strRef>
          </c:cat>
          <c:val>
            <c:numRef>
              <c:f>'SLA Dist.'!$B$4:$B$7</c:f>
              <c:numCache>
                <c:formatCode>0.00%</c:formatCode>
                <c:ptCount val="3"/>
                <c:pt idx="0">
                  <c:v>0.30827067669172931</c:v>
                </c:pt>
                <c:pt idx="1">
                  <c:v>0.56390977443609025</c:v>
                </c:pt>
                <c:pt idx="2">
                  <c:v>0.12781954887218044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F-471A-824D-DDB502A89A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54905983"/>
        <c:axId val="1954472271"/>
      </c:barChart>
      <c:catAx>
        <c:axId val="1754905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SLA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472271"/>
        <c:crosses val="autoZero"/>
        <c:auto val="1"/>
        <c:lblAlgn val="ctr"/>
        <c:lblOffset val="100"/>
        <c:noMultiLvlLbl val="0"/>
      </c:catAx>
      <c:valAx>
        <c:axId val="195447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work Orders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905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Service Report Timothy Adams Aug 26.xlsm]WO Dist. by Tech!PivotTable1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Work Order distribution by technician for January 2025.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 Dist. by Tech'!$B$3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 Dist. by Tech'!$A$4:$A$10</c:f>
              <c:strCache>
                <c:ptCount val="6"/>
                <c:pt idx="0">
                  <c:v>Ainsley</c:v>
                </c:pt>
                <c:pt idx="1">
                  <c:v>Herman</c:v>
                </c:pt>
                <c:pt idx="2">
                  <c:v>Jessica</c:v>
                </c:pt>
                <c:pt idx="3">
                  <c:v>Joel</c:v>
                </c:pt>
                <c:pt idx="4">
                  <c:v>Kyle</c:v>
                </c:pt>
                <c:pt idx="5">
                  <c:v>Nafees</c:v>
                </c:pt>
              </c:strCache>
            </c:strRef>
          </c:cat>
          <c:val>
            <c:numRef>
              <c:f>'WO Dist. by Tech'!$B$4:$B$10</c:f>
              <c:numCache>
                <c:formatCode>General</c:formatCode>
                <c:ptCount val="6"/>
                <c:pt idx="0">
                  <c:v>6</c:v>
                </c:pt>
                <c:pt idx="1">
                  <c:v>43</c:v>
                </c:pt>
                <c:pt idx="2">
                  <c:v>50</c:v>
                </c:pt>
                <c:pt idx="3">
                  <c:v>1</c:v>
                </c:pt>
                <c:pt idx="4">
                  <c:v>28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6B-49DA-A61D-A928587EE7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2311576"/>
        <c:axId val="572311904"/>
      </c:barChart>
      <c:catAx>
        <c:axId val="572311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Technician Name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11904"/>
        <c:crosses val="autoZero"/>
        <c:auto val="1"/>
        <c:lblAlgn val="ctr"/>
        <c:lblOffset val="100"/>
        <c:noMultiLvlLbl val="0"/>
      </c:catAx>
      <c:valAx>
        <c:axId val="5723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 of Work Orders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1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Service Report Timothy Adams Aug 26.xlsm]Revenue Breakdown!PivotTable1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Breakdown</a:t>
            </a:r>
            <a:r>
              <a:rPr lang="en-US" baseline="0"/>
              <a:t> of Work Orders for January 2025.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'Revenue Breakdown'!$B$3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3F3-49C7-91BC-F58FEA8E31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73-42A4-9754-0B2571E30B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3F3-49C7-91BC-F58FEA8E31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73-42A4-9754-0B2571E30B44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'Revenue Breakdown'!$A$4:$A$6</c:f>
              <c:strCache>
                <c:ptCount val="2"/>
                <c:pt idx="0">
                  <c:v>Cash</c:v>
                </c:pt>
                <c:pt idx="1">
                  <c:v>PO</c:v>
                </c:pt>
              </c:strCache>
            </c:strRef>
          </c:cat>
          <c:val>
            <c:numRef>
              <c:f>'Revenue Breakdown'!$B$4:$B$6</c:f>
              <c:numCache>
                <c:formatCode>"$"#,##0.00</c:formatCode>
                <c:ptCount val="2"/>
                <c:pt idx="0">
                  <c:v>3400</c:v>
                </c:pt>
                <c:pt idx="1">
                  <c:v>5198.5200000000004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F3-49C7-91BC-F58FEA8E31C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[Monthly Service Report Timothy Adams Aug 26.xlsm]Work Order Status!PivotTable3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Order Status for January 2025.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'Work Order Status'!$B$3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 Order Status'!$A$4:$A$5</c:f>
              <c:strCache>
                <c:ptCount val="1"/>
                <c:pt idx="0">
                  <c:v>Completed</c:v>
                </c:pt>
              </c:strCache>
            </c:strRef>
          </c:cat>
          <c:val>
            <c:numRef>
              <c:f>'Work Order Status'!$B$4:$B$5</c:f>
              <c:numCache>
                <c:formatCode>0.00%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5-4DF6-ADC0-CE10D7F832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8703312"/>
        <c:axId val="618700360"/>
      </c:barChart>
      <c:catAx>
        <c:axId val="61870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00360"/>
        <c:crosses val="autoZero"/>
        <c:auto val="1"/>
        <c:lblAlgn val="ctr"/>
        <c:lblOffset val="100"/>
        <c:noMultiLvlLbl val="0"/>
      </c:catAx>
      <c:valAx>
        <c:axId val="61870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0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[Monthly Service Report Timothy Adams Aug 26.xlsm]Weekly WO Dist.!PivotTable2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Order Distribution for Week</a:t>
            </a:r>
            <a:r>
              <a:rPr lang="en-US" baseline="0"/>
              <a:t> 1 </a:t>
            </a:r>
            <a:r>
              <a:rPr lang="en-US"/>
              <a:t>of February 2025.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'Weekly WO Dist.'!$B$3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'Weekly WO Dist.'!$A$4:$A$25</c:f>
              <c:multiLvlStrCache>
                <c:ptCount val="16"/>
                <c:lvl>
                  <c:pt idx="0">
                    <c:v>Herman</c:v>
                  </c:pt>
                  <c:pt idx="1">
                    <c:v>Jessica</c:v>
                  </c:pt>
                  <c:pt idx="2">
                    <c:v>Herman</c:v>
                  </c:pt>
                  <c:pt idx="3">
                    <c:v>Jessica</c:v>
                  </c:pt>
                  <c:pt idx="4">
                    <c:v>Kyle</c:v>
                  </c:pt>
                  <c:pt idx="5">
                    <c:v>Ainsley</c:v>
                  </c:pt>
                  <c:pt idx="6">
                    <c:v>Herman</c:v>
                  </c:pt>
                  <c:pt idx="7">
                    <c:v>Jessica</c:v>
                  </c:pt>
                  <c:pt idx="8">
                    <c:v>Kyle</c:v>
                  </c:pt>
                  <c:pt idx="9">
                    <c:v>Herman</c:v>
                  </c:pt>
                  <c:pt idx="10">
                    <c:v>Jessica</c:v>
                  </c:pt>
                  <c:pt idx="11">
                    <c:v>Kyle</c:v>
                  </c:pt>
                  <c:pt idx="12">
                    <c:v>Ainsley</c:v>
                  </c:pt>
                  <c:pt idx="13">
                    <c:v>Herman</c:v>
                  </c:pt>
                  <c:pt idx="14">
                    <c:v>Jessica</c:v>
                  </c:pt>
                  <c:pt idx="15">
                    <c:v>Kyle</c:v>
                  </c:pt>
                </c:lvl>
                <c:lvl>
                  <c:pt idx="0">
                    <c:v>3-Feb-25</c:v>
                  </c:pt>
                  <c:pt idx="2">
                    <c:v>4-Feb-25</c:v>
                  </c:pt>
                  <c:pt idx="5">
                    <c:v>5-Feb-25</c:v>
                  </c:pt>
                  <c:pt idx="9">
                    <c:v>6-Feb-25</c:v>
                  </c:pt>
                  <c:pt idx="12">
                    <c:v>7-Feb-25</c:v>
                  </c:pt>
                </c:lvl>
              </c:multiLvlStrCache>
            </c:multiLvlStrRef>
          </c:cat>
          <c:val>
            <c:numRef>
              <c:f>'Weekly WO Dist.'!$B$4:$B$25</c:f>
              <c:numCache>
                <c:formatCode>General</c:formatCode>
                <c:ptCount val="16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2</c:v>
                </c:pt>
                <c:pt idx="13">
                  <c:v>1</c:v>
                </c:pt>
                <c:pt idx="14">
                  <c:v>6</c:v>
                </c:pt>
                <c:pt idx="1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D-40C6-A46B-CC707D0983D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32073192"/>
        <c:axId val="632077456"/>
      </c:barChart>
      <c:catAx>
        <c:axId val="632073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077456"/>
        <c:crosses val="autoZero"/>
        <c:auto val="1"/>
        <c:lblAlgn val="ctr"/>
        <c:lblOffset val="100"/>
        <c:noMultiLvlLbl val="0"/>
      </c:catAx>
      <c:valAx>
        <c:axId val="6320774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32073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Service Report Timothy Adams Aug 26.xlsm]Payment Breakdown!PivotTable2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 Breakdown</a:t>
            </a:r>
            <a:r>
              <a:rPr lang="en-US" baseline="0"/>
              <a:t> of Work Orders for January 2025.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'Payment Breakdown'!$B$3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'Payment Breakdown'!$A$4:$A$7</c:f>
              <c:strCache>
                <c:ptCount val="3"/>
                <c:pt idx="0">
                  <c:v>Cash</c:v>
                </c:pt>
                <c:pt idx="1">
                  <c:v>No charge</c:v>
                </c:pt>
                <c:pt idx="2">
                  <c:v>PO</c:v>
                </c:pt>
              </c:strCache>
            </c:strRef>
          </c:cat>
          <c:val>
            <c:numRef>
              <c:f>'Payment Breakdown'!$B$4:$B$7</c:f>
              <c:numCache>
                <c:formatCode>0.00%</c:formatCode>
                <c:ptCount val="3"/>
                <c:pt idx="0">
                  <c:v>6.7669172932330823E-2</c:v>
                </c:pt>
                <c:pt idx="1">
                  <c:v>0.91729323308270672</c:v>
                </c:pt>
                <c:pt idx="2">
                  <c:v>1.5037593984962405E-2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CE-44DE-9DA0-3F347C881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108456"/>
        <c:axId val="573109440"/>
      </c:barChart>
      <c:catAx>
        <c:axId val="57310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09440"/>
        <c:crosses val="autoZero"/>
        <c:auto val="1"/>
        <c:lblAlgn val="ctr"/>
        <c:lblOffset val="100"/>
        <c:noMultiLvlLbl val="0"/>
      </c:catAx>
      <c:valAx>
        <c:axId val="57310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0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7</xdr:row>
      <xdr:rowOff>71437</xdr:rowOff>
    </xdr:from>
    <xdr:to>
      <xdr:col>12</xdr:col>
      <xdr:colOff>228600</xdr:colOff>
      <xdr:row>21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649324-BDDD-4D4F-81B7-5709D7A9B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7</xdr:row>
      <xdr:rowOff>71437</xdr:rowOff>
    </xdr:from>
    <xdr:to>
      <xdr:col>12</xdr:col>
      <xdr:colOff>228600</xdr:colOff>
      <xdr:row>21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8B938-7562-4BDC-B7E5-D1C629C84A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7</xdr:row>
      <xdr:rowOff>71437</xdr:rowOff>
    </xdr:from>
    <xdr:to>
      <xdr:col>12</xdr:col>
      <xdr:colOff>228600</xdr:colOff>
      <xdr:row>21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57A78D-937C-484B-BC6D-A29D25F00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3</xdr:row>
      <xdr:rowOff>14287</xdr:rowOff>
    </xdr:from>
    <xdr:to>
      <xdr:col>10</xdr:col>
      <xdr:colOff>333375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D7AE0B-A6A1-446E-97DD-AFD7AEFEF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205740</xdr:colOff>
      <xdr:row>3</xdr:row>
      <xdr:rowOff>31432</xdr:rowOff>
    </xdr:from>
    <xdr:to>
      <xdr:col>10</xdr:col>
      <xdr:colOff>171450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163EE4-C66C-B7C8-2D84-7151C3BC27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3</xdr:row>
      <xdr:rowOff>33337</xdr:rowOff>
    </xdr:from>
    <xdr:to>
      <xdr:col>10</xdr:col>
      <xdr:colOff>333375</xdr:colOff>
      <xdr:row>17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3FC843-DEF7-B6CD-45EB-6447B497CD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3</xdr:row>
      <xdr:rowOff>33337</xdr:rowOff>
    </xdr:from>
    <xdr:to>
      <xdr:col>10</xdr:col>
      <xdr:colOff>333375</xdr:colOff>
      <xdr:row>17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D3442-A76E-F304-1D26-C3D04BECB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243840</xdr:colOff>
      <xdr:row>7</xdr:row>
      <xdr:rowOff>22860</xdr:rowOff>
    </xdr:from>
    <xdr:to>
      <xdr:col>12</xdr:col>
      <xdr:colOff>556260</xdr:colOff>
      <xdr:row>22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1577AD-E030-A316-99BE-1597951B9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3158</xdr:colOff>
      <xdr:row>0</xdr:row>
      <xdr:rowOff>67970</xdr:rowOff>
    </xdr:from>
    <xdr:to>
      <xdr:col>2</xdr:col>
      <xdr:colOff>18781</xdr:colOff>
      <xdr:row>1</xdr:row>
      <xdr:rowOff>9587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DA856D9-48CF-445A-A5D1-4ED45866A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58" y="67970"/>
          <a:ext cx="1139573" cy="79886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38877</xdr:colOff>
      <xdr:row>0</xdr:row>
      <xdr:rowOff>64795</xdr:rowOff>
    </xdr:from>
    <xdr:to>
      <xdr:col>2</xdr:col>
      <xdr:colOff>54500</xdr:colOff>
      <xdr:row>1</xdr:row>
      <xdr:rowOff>3237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BE6FEB-7541-442E-9A8B-DEFB716D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77" y="62890"/>
          <a:ext cx="1124333" cy="79759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ys Kowlessar" refreshedDate="45727.329306597225" createdVersion="8" refreshedVersion="8" minRefreshableVersion="3" recordCount="0" xr:uid="{6525790C-EA5D-42E4-A31F-ECF69EBA317A}">
  <cacheSource type="worksheet">
    <worksheetSource name="Table2"/>
  </cacheSource>
  <cacheFields count="24">
    <cacheField name="No." numFmtId="0">
      <sharedItems count="0"/>
    </cacheField>
    <cacheField name="Location" numFmtId="0">
      <sharedItems count="0"/>
    </cacheField>
    <cacheField name="Revenue ($)" numFmtId="166">
      <sharedItems count="0"/>
    </cacheField>
    <cacheField name="Job Status" numFmtId="0">
      <sharedItems count="0"/>
    </cacheField>
    <cacheField name="FTF" numFmtId="0">
      <sharedItems count="0"/>
    </cacheField>
    <cacheField name="Comments" numFmtId="0">
      <sharedItems count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ys Kowlessar" refreshedDate="45727.329307060187" createdVersion="7" refreshedVersion="8" minRefreshableVersion="3" recordCount="0" xr:uid="{3E7AE3CA-27F0-41EC-B3C5-E0028240E767}">
  <cacheSource type="worksheet">
    <worksheetSource name="Table2"/>
  </cacheSource>
  <cacheFields count="25">
    <cacheField name="No." numFmtId="0">
      <sharedItems count="0"/>
      <fieldGroup par="24"/>
    </cacheField>
    <cacheField name="Customer" numFmtId="0">
      <sharedItems count="0"/>
    </cacheField>
    <cacheField name="SLA Type" numFmtId="0">
      <sharedItems count="0"/>
    </cacheField>
    <cacheField name="Model No." numFmtId="0">
      <sharedItems count="0"/>
    </cacheField>
    <cacheField name="Arrival Time" numFmtId="164">
      <sharedItems count="0"/>
    </cacheField>
    <cacheField name="Revenue ($)" numFmtId="166">
      <sharedItems count="0"/>
    </cacheField>
    <cacheField name="FTF" numFmtId="0">
      <sharedItems count="0"/>
    </cacheField>
    <cacheField name="Comments" numFmtId="0">
      <sharedItems count="0"/>
    </cacheField>
    <cacheField name="Date2" numFmtId="0" databaseField="0">
      <fieldGroup base="2">
        <discretePr count="776">
          <x v="737"/>
          <x v="738"/>
          <x v="739"/>
          <x v="740"/>
          <x v="741"/>
          <x v="742"/>
          <x v="743"/>
          <x v="744"/>
          <x v="745"/>
          <x v="746"/>
          <x v="747"/>
          <x v="748"/>
          <x v="749"/>
          <x v="750"/>
          <x v="751"/>
          <x v="752"/>
          <x v="753"/>
          <x v="754"/>
          <x v="755"/>
          <x v="64"/>
          <x v="715"/>
          <x v="716"/>
          <x v="717"/>
          <x v="718"/>
          <x v="719"/>
          <x v="720"/>
          <x v="721"/>
          <x v="722"/>
          <x v="723"/>
          <x v="724"/>
          <x v="725"/>
          <x v="726"/>
          <x v="727"/>
          <x v="728"/>
          <x v="729"/>
          <x v="730"/>
          <x v="731"/>
          <x v="732"/>
          <x v="733"/>
          <x v="734"/>
          <x v="735"/>
          <x v="736"/>
          <x v="694"/>
          <x v="695"/>
          <x v="696"/>
          <x v="697"/>
          <x v="698"/>
          <x v="699"/>
          <x v="700"/>
          <x v="701"/>
          <x v="702"/>
          <x v="703"/>
          <x v="704"/>
          <x v="705"/>
          <x v="706"/>
          <x v="707"/>
          <x v="708"/>
          <x v="709"/>
          <x v="710"/>
          <x v="711"/>
          <x v="712"/>
          <x v="713"/>
          <x v="714"/>
          <x v="673"/>
          <x v="674"/>
          <x v="675"/>
          <x v="676"/>
          <x v="677"/>
          <x v="678"/>
          <x v="679"/>
          <x v="680"/>
          <x v="681"/>
          <x v="682"/>
          <x v="683"/>
          <x v="684"/>
          <x v="685"/>
          <x v="686"/>
          <x v="687"/>
          <x v="688"/>
          <x v="689"/>
          <x v="690"/>
          <x v="691"/>
          <x v="692"/>
          <x v="693"/>
          <x v="649"/>
          <x v="650"/>
          <x v="651"/>
          <x v="652"/>
          <x v="653"/>
          <x v="654"/>
          <x v="655"/>
          <x v="656"/>
          <x v="657"/>
          <x v="658"/>
          <x v="659"/>
          <x v="660"/>
          <x v="661"/>
          <x v="662"/>
          <x v="663"/>
          <x v="664"/>
          <x v="665"/>
          <x v="666"/>
          <x v="667"/>
          <x v="668"/>
          <x v="669"/>
          <x v="670"/>
          <x v="671"/>
          <x v="672"/>
          <x v="627"/>
          <x v="628"/>
          <x v="629"/>
          <x v="630"/>
          <x v="631"/>
          <x v="632"/>
          <x v="633"/>
          <x v="634"/>
          <x v="635"/>
          <x v="636"/>
          <x v="637"/>
          <x v="638"/>
          <x v="639"/>
          <x v="640"/>
          <x v="641"/>
          <x v="642"/>
          <x v="643"/>
          <x v="644"/>
          <x v="645"/>
          <x v="646"/>
          <x v="648"/>
          <x v="647"/>
          <x v="606"/>
          <x v="607"/>
          <x v="608"/>
          <x v="609"/>
          <x v="610"/>
          <x v="611"/>
          <x v="612"/>
          <x v="613"/>
          <x v="614"/>
          <x v="615"/>
          <x v="616"/>
          <x v="617"/>
          <x v="618"/>
          <x v="619"/>
          <x v="620"/>
          <x v="621"/>
          <x v="622"/>
          <x v="623"/>
          <x v="624"/>
          <x v="625"/>
          <x v="626"/>
          <x v="583"/>
          <x v="584"/>
          <x v="585"/>
          <x v="586"/>
          <x v="587"/>
          <x v="588"/>
          <x v="589"/>
          <x v="590"/>
          <x v="591"/>
          <x v="592"/>
          <x v="593"/>
          <x v="594"/>
          <x v="595"/>
          <x v="596"/>
          <x v="597"/>
          <x v="598"/>
          <x v="599"/>
          <x v="600"/>
          <x v="601"/>
          <x v="602"/>
          <x v="603"/>
          <x v="604"/>
          <x v="605"/>
          <x v="563"/>
          <x v="564"/>
          <x v="565"/>
          <x v="566"/>
          <x v="567"/>
          <x v="568"/>
          <x v="569"/>
          <x v="570"/>
          <x v="571"/>
          <x v="572"/>
          <x v="573"/>
          <x v="574"/>
          <x v="575"/>
          <x v="576"/>
          <x v="577"/>
          <x v="578"/>
          <x v="579"/>
          <x v="580"/>
          <x v="581"/>
          <x v="582"/>
          <x v="542"/>
          <x v="543"/>
          <x v="544"/>
          <x v="545"/>
          <x v="546"/>
          <x v="547"/>
          <x v="548"/>
          <x v="549"/>
          <x v="550"/>
          <x v="551"/>
          <x v="552"/>
          <x v="553"/>
          <x v="554"/>
          <x v="555"/>
          <x v="556"/>
          <x v="557"/>
          <x v="558"/>
          <x v="559"/>
          <x v="560"/>
          <x v="561"/>
          <x v="562"/>
          <x v="521"/>
          <x v="522"/>
          <x v="523"/>
          <x v="524"/>
          <x v="525"/>
          <x v="526"/>
          <x v="527"/>
          <x v="528"/>
          <x v="529"/>
          <x v="530"/>
          <x v="531"/>
          <x v="532"/>
          <x v="533"/>
          <x v="534"/>
          <x v="535"/>
          <x v="536"/>
          <x v="537"/>
          <x v="538"/>
          <x v="539"/>
          <x v="540"/>
          <x v="541"/>
          <x v="500"/>
          <x v="501"/>
          <x v="502"/>
          <x v="503"/>
          <x v="504"/>
          <x v="505"/>
          <x v="506"/>
          <x v="507"/>
          <x v="508"/>
          <x v="509"/>
          <x v="510"/>
          <x v="511"/>
          <x v="512"/>
          <x v="513"/>
          <x v="514"/>
          <x v="515"/>
          <x v="516"/>
          <x v="517"/>
          <x v="518"/>
          <x v="519"/>
          <x v="520"/>
          <x v="480"/>
          <x v="481"/>
          <x v="482"/>
          <x v="483"/>
          <x v="484"/>
          <x v="485"/>
          <x v="486"/>
          <x v="487"/>
          <x v="488"/>
          <x v="489"/>
          <x v="490"/>
          <x v="491"/>
          <x v="492"/>
          <x v="493"/>
          <x v="495"/>
          <x v="496"/>
          <x v="497"/>
          <x v="498"/>
          <x v="494"/>
          <x v="499"/>
          <x v="454"/>
          <x v="455"/>
          <x v="456"/>
          <x v="457"/>
          <x v="458"/>
          <x v="459"/>
          <x v="460"/>
          <x v="461"/>
          <x v="462"/>
          <x v="463"/>
          <x v="464"/>
          <x v="465"/>
          <x v="466"/>
          <x v="467"/>
          <x v="468"/>
          <x v="469"/>
          <x v="470"/>
          <x v="471"/>
          <x v="472"/>
          <x v="473"/>
          <x v="474"/>
          <x v="475"/>
          <x v="476"/>
          <x v="477"/>
          <x v="478"/>
          <x v="479"/>
          <x v="435"/>
          <x v="436"/>
          <x v="437"/>
          <x v="438"/>
          <x v="439"/>
          <x v="440"/>
          <x v="441"/>
          <x v="442"/>
          <x v="443"/>
          <x v="444"/>
          <x v="445"/>
          <x v="446"/>
          <x v="447"/>
          <x v="448"/>
          <x v="449"/>
          <x v="450"/>
          <x v="451"/>
          <x v="452"/>
          <x v="453"/>
          <x v="172"/>
          <x v="416"/>
          <x v="417"/>
          <x v="173"/>
          <x v="418"/>
          <x v="419"/>
          <x v="420"/>
          <x v="421"/>
          <x v="422"/>
          <x v="423"/>
          <x v="424"/>
          <x v="425"/>
          <x v="426"/>
          <x v="427"/>
          <x v="428"/>
          <x v="429"/>
          <x v="430"/>
          <x v="431"/>
          <x v="432"/>
          <x v="433"/>
          <x v="434"/>
          <x v="393"/>
          <x v="394"/>
          <x v="395"/>
          <x v="396"/>
          <x v="397"/>
          <x v="398"/>
          <x v="399"/>
          <x v="400"/>
          <x v="401"/>
          <x v="402"/>
          <x v="403"/>
          <x v="405"/>
          <x v="406"/>
          <x v="407"/>
          <x v="408"/>
          <x v="409"/>
          <x v="410"/>
          <x v="411"/>
          <x v="412"/>
          <x v="413"/>
          <x v="414"/>
          <x v="415"/>
          <x v="404"/>
          <x v="373"/>
          <x v="374"/>
          <x v="375"/>
          <x v="376"/>
          <x v="377"/>
          <x v="378"/>
          <x v="379"/>
          <x v="380"/>
          <x v="381"/>
          <x v="382"/>
          <x v="383"/>
          <x v="384"/>
          <x v="385"/>
          <x v="386"/>
          <x v="387"/>
          <x v="388"/>
          <x v="389"/>
          <x v="390"/>
          <x v="391"/>
          <x v="392"/>
          <x v="351"/>
          <x v="352"/>
          <x v="353"/>
          <x v="354"/>
          <x v="355"/>
          <x v="356"/>
          <x v="357"/>
          <x v="358"/>
          <x v="359"/>
          <x v="360"/>
          <x v="361"/>
          <x v="362"/>
          <x v="363"/>
          <x v="364"/>
          <x v="365"/>
          <x v="366"/>
          <x v="367"/>
          <x v="368"/>
          <x v="369"/>
          <x v="370"/>
          <x v="371"/>
          <x v="372"/>
          <x v="329"/>
          <x v="330"/>
          <x v="331"/>
          <x v="332"/>
          <x v="333"/>
          <x v="334"/>
          <x v="335"/>
          <x v="336"/>
          <x v="337"/>
          <x v="338"/>
          <x v="339"/>
          <x v="340"/>
          <x v="341"/>
          <x v="342"/>
          <x v="343"/>
          <x v="344"/>
          <x v="345"/>
          <x v="346"/>
          <x v="348"/>
          <x v="349"/>
          <x v="350"/>
          <x v="347"/>
          <x v="306"/>
          <x v="307"/>
          <x v="308"/>
          <x v="309"/>
          <x v="310"/>
          <x v="311"/>
          <x v="312"/>
          <x v="313"/>
          <x v="314"/>
          <x v="315"/>
          <x v="316"/>
          <x v="317"/>
          <x v="318"/>
          <x v="319"/>
          <x v="320"/>
          <x v="321"/>
          <x v="322"/>
          <x v="323"/>
          <x v="324"/>
          <x v="325"/>
          <x v="326"/>
          <x v="327"/>
          <x v="328"/>
          <x v="3"/>
          <x v="47"/>
          <x v="111"/>
          <x v="163"/>
          <x v="209"/>
          <x v="246"/>
          <x v="24"/>
          <x v="76"/>
          <x v="128"/>
          <x v="188"/>
          <x v="230"/>
          <x v="272"/>
          <x v="5"/>
          <x v="26"/>
          <x v="97"/>
          <x v="147"/>
          <x v="258"/>
          <x v="288"/>
          <x v="2"/>
          <x v="50"/>
          <x v="107"/>
          <x v="160"/>
          <x v="202"/>
          <x v="240"/>
          <x v="22"/>
          <x v="71"/>
          <x v="135"/>
          <x v="195"/>
          <x v="227"/>
          <x v="20"/>
          <x v="44"/>
          <x v="99"/>
          <x v="153"/>
          <x v="208"/>
          <x v="255"/>
          <x v="296"/>
          <x v="1"/>
          <x v="84"/>
          <x v="120"/>
          <x v="170"/>
          <x v="216"/>
          <x v="264"/>
          <x v="31"/>
          <x v="68"/>
          <x v="136"/>
          <x v="177"/>
          <x v="225"/>
          <x v="292"/>
          <x v="4"/>
          <x v="46"/>
          <x v="156"/>
          <x v="212"/>
          <x v="242"/>
          <x v="302"/>
          <x v="196"/>
          <x v="0"/>
          <x v="81"/>
          <x v="127"/>
          <x v="190"/>
          <x v="238"/>
          <x v="270"/>
          <x v="28"/>
          <x v="145"/>
          <x v="181"/>
          <x v="236"/>
          <x v="284"/>
          <x v="3"/>
          <x v="48"/>
          <x v="159"/>
          <x v="197"/>
          <x v="248"/>
          <x v="74"/>
          <x v="191"/>
          <x v="274"/>
          <x v="143"/>
          <x v="291"/>
          <x v="2"/>
          <x v="54"/>
          <x v="154"/>
          <x v="205"/>
          <x v="19"/>
          <x v="69"/>
          <x v="183"/>
          <x v="218"/>
          <x v="279"/>
          <x v="149"/>
          <x v="299"/>
          <x v="1"/>
          <x v="233"/>
          <x v="168"/>
          <x v="276"/>
          <x v="13"/>
          <x v="67"/>
          <x v="104"/>
          <x v="179"/>
          <x v="222"/>
          <x v="289"/>
          <x v="117"/>
          <x v="162"/>
          <x v="304"/>
          <x v="36"/>
          <x v="275"/>
          <x v="9"/>
          <x v="89"/>
          <x v="257"/>
          <x v="286"/>
          <x v="113"/>
          <x v="164"/>
          <x v="254"/>
          <x v="35"/>
          <x v="130"/>
          <x v="186"/>
          <x v="20"/>
          <x v="63"/>
          <x v="85"/>
          <x v="261"/>
          <x v="293"/>
          <x v="109"/>
          <x v="167"/>
          <x v="18"/>
          <x v="41"/>
          <x v="103"/>
          <x v="132"/>
          <x v="187"/>
          <x v="281"/>
          <x v="45"/>
          <x v="95"/>
          <x v="174"/>
          <x v="199"/>
          <x v="251"/>
          <x v="300"/>
          <x v="82"/>
          <x v="124"/>
          <x v="10"/>
          <x v="37"/>
          <x v="94"/>
          <x v="142"/>
          <x v="178"/>
          <x v="234"/>
          <x v="3"/>
          <x v="49"/>
          <x v="112"/>
          <x v="214"/>
          <x v="244"/>
          <x v="294"/>
          <x v="43"/>
          <x v="78"/>
          <x v="122"/>
          <x v="231"/>
          <x v="7"/>
          <x v="32"/>
          <x v="86"/>
          <x v="131"/>
          <x v="260"/>
          <x v="2"/>
          <x v="60"/>
          <x v="115"/>
          <x v="201"/>
          <x v="239"/>
          <x v="23"/>
          <x v="73"/>
          <x v="134"/>
          <x v="228"/>
          <x v="20"/>
          <x v="53"/>
          <x v="92"/>
          <x v="207"/>
          <x v="263"/>
          <x v="1"/>
          <x v="219"/>
          <x v="62"/>
          <x v="121"/>
          <x v="215"/>
          <x v="265"/>
          <x v="14"/>
          <x v="40"/>
          <x v="66"/>
          <x v="141"/>
          <x v="221"/>
          <x v="4"/>
          <x v="57"/>
          <x v="87"/>
          <x v="151"/>
          <x v="211"/>
          <x v="243"/>
          <x v="0"/>
          <x v="79"/>
          <x v="126"/>
          <x v="189"/>
          <x v="269"/>
          <x v="12"/>
          <x v="29"/>
          <x v="137"/>
          <x v="182"/>
          <x v="232"/>
          <x v="283"/>
          <x v="3"/>
          <x v="59"/>
          <x v="114"/>
          <x v="155"/>
          <x v="206"/>
          <x v="249"/>
          <x v="83"/>
          <x v="129"/>
          <x v="193"/>
          <x v="226"/>
          <x v="273"/>
          <x v="6"/>
          <x v="25"/>
          <x v="144"/>
          <x v="259"/>
          <x v="287"/>
          <x v="2"/>
          <x v="55"/>
          <x v="108"/>
          <x v="161"/>
          <x v="203"/>
          <x v="241"/>
          <x v="70"/>
          <x v="185"/>
          <x v="229"/>
          <x v="278"/>
          <x v="20"/>
          <x v="52"/>
          <x v="152"/>
          <x v="256"/>
          <x v="298"/>
          <x v="1"/>
          <x v="123"/>
          <x v="171"/>
          <x v="217"/>
          <x v="277"/>
          <x v="72"/>
          <x v="101"/>
          <x v="139"/>
          <x v="176"/>
          <x v="224"/>
          <x v="157"/>
          <x v="245"/>
          <x v="303"/>
          <x v="0"/>
          <x v="77"/>
          <x v="106"/>
          <x v="237"/>
          <x v="267"/>
          <x v="88"/>
          <x v="146"/>
          <x v="180"/>
          <x v="235"/>
          <x v="285"/>
          <x v="3"/>
          <x v="58"/>
          <x v="119"/>
          <x v="158"/>
          <x v="250"/>
          <x v="42"/>
          <x v="75"/>
          <x v="192"/>
          <x v="271"/>
          <x v="96"/>
          <x v="148"/>
          <x v="295"/>
          <x v="2"/>
          <x v="61"/>
          <x v="165"/>
          <x v="16"/>
          <x v="33"/>
          <x v="65"/>
          <x v="184"/>
          <x v="220"/>
          <x v="280"/>
          <x v="105"/>
          <x v="198"/>
          <x v="297"/>
          <x v="39"/>
          <x v="1"/>
          <x v="169"/>
          <x v="282"/>
          <x v="15"/>
          <x v="30"/>
          <x v="93"/>
          <x v="175"/>
          <x v="223"/>
          <x v="118"/>
          <x v="213"/>
          <x v="247"/>
          <x v="305"/>
          <x v="8"/>
          <x v="27"/>
          <x v="90"/>
          <x v="116"/>
          <x v="166"/>
          <x v="200"/>
          <x v="253"/>
          <x v="34"/>
          <x v="133"/>
          <x v="20"/>
          <x v="51"/>
          <x v="98"/>
          <x v="262"/>
          <x v="110"/>
          <x v="204"/>
          <x v="266"/>
          <x v="17"/>
          <x v="21"/>
          <x v="102"/>
          <x v="140"/>
          <x v="4"/>
          <x v="56"/>
          <x v="100"/>
          <x v="150"/>
          <x v="210"/>
          <x v="252"/>
          <x v="301"/>
          <x v="80"/>
          <x v="125"/>
          <x v="194"/>
          <x v="268"/>
          <x v="11"/>
          <x v="38"/>
          <x v="91"/>
          <x v="138"/>
          <x v="290"/>
        </discretePr>
        <groupItems count="756">
          <s v="Group1"/>
          <s v="Group2"/>
          <s v="Group3"/>
          <s v="Group4"/>
          <s v="Group5"/>
          <d v="2022-01-11T00:00:00"/>
          <d v="2022-01-10T00:00:00"/>
          <d v="2022-01-12T00:00:00"/>
          <d v="2022-01-13T00:00:00"/>
          <d v="2022-01-14T00:00:00"/>
          <d v="2022-01-19T00:00:00"/>
          <d v="2022-01-18T00:00:00"/>
          <d v="2022-01-17T00:00:00"/>
          <d v="2022-01-21T00:00:00"/>
          <d v="2022-01-24T00:00:00"/>
          <d v="2022-01-20T00:00:00"/>
          <d v="2022-01-27T00:00:00"/>
          <d v="2022-01-25T00:00:00"/>
          <d v="2022-01-26T00:00:00"/>
          <d v="2022-01-28T00:00:00"/>
          <s v="Group6"/>
          <d v="2022-03-16T00:00:00"/>
          <d v="2022-03-21T00:00:00"/>
          <d v="2022-03-22T00:00:00"/>
          <d v="2022-03-28T00:00:00"/>
          <d v="2022-03-01T00:00:00"/>
          <d v="2022-03-02T00:00:00"/>
          <d v="2022-03-04T00:00:00"/>
          <d v="2022-03-07T00:00:00"/>
          <d v="2022-03-08T00:00:00"/>
          <d v="2022-03-11T00:00:00"/>
          <d v="2022-03-14T00:00:00"/>
          <d v="2022-03-03T00:00:00"/>
          <d v="2022-03-18T00:00:00"/>
          <d v="2022-03-23T00:00:00"/>
          <d v="2022-03-24T00:00:00"/>
          <d v="2022-03-31T00:00:00"/>
          <d v="2022-03-10T00:00:00"/>
          <d v="2022-03-09T00:00:00"/>
          <d v="2021-03-11T00:00:00"/>
          <d v="2022-03-15T00:00:00"/>
          <d v="2022-03-17T00:00:00"/>
          <d v="2022-03-25T00:00:00"/>
          <d v="2022-03-29T00:00:00"/>
          <d v="2022-04-26T00:00:00"/>
          <d v="2022-04-22T00:00:00"/>
          <d v="2022-04-19T00:00:00"/>
          <d v="2022-04-14T00:00:00"/>
          <d v="2022-04-12T00:00:00"/>
          <d v="2022-04-15T00:00:00"/>
          <d v="2022-04-07T00:00:00"/>
          <d v="2022-04-28T00:00:00"/>
          <d v="2022-04-25T00:00:00"/>
          <d v="2022-04-27T00:00:00"/>
          <d v="2022-04-05T00:00:00"/>
          <d v="2022-04-06T00:00:00"/>
          <d v="2022-04-21T00:00:00"/>
          <d v="2022-04-20T00:00:00"/>
          <d v="2022-04-11T00:00:00"/>
          <d v="2022-04-13T00:00:00"/>
          <d v="2022-04-08T00:00:00"/>
          <d v="2022-04-04T00:00:00"/>
          <d v="2022-04-01T00:00:00"/>
          <d v="2022-04-29T00:00:00"/>
          <m/>
          <d v="2022-05-09T00:00:00"/>
          <d v="2022-05-06T00:00:00"/>
          <d v="2022-05-03T00:00:00"/>
          <d v="2022-05-05T00:00:00"/>
          <d v="2022-05-10T00:00:00"/>
          <d v="2022-05-11T00:00:00"/>
          <d v="2022-05-12T00:00:00"/>
          <d v="2022-05-04T00:00:00"/>
          <d v="2022-05-13T00:00:00"/>
          <d v="2022-05-17T00:00:00"/>
          <d v="2022-05-16T00:00:00"/>
          <d v="2022-05-19T00:00:00"/>
          <d v="2022-05-23T00:00:00"/>
          <d v="2022-05-20T00:00:00"/>
          <d v="2022-05-25T00:00:00"/>
          <d v="2022-05-26T00:00:00"/>
          <d v="2022-05-24T00:00:00"/>
          <d v="2022-05-27T00:00:00"/>
          <d v="2022-05-18T00:00:00"/>
          <d v="2022-05-31T00:00:00"/>
          <d v="2022-08-11T00:00:00"/>
          <d v="2022-08-16T00:00:00"/>
          <d v="2022-08-02T00:00:00"/>
          <d v="2022-08-19T00:00:00"/>
          <d v="2022-08-18T00:00:00"/>
          <d v="2022-08-17T00:00:00"/>
          <d v="2022-08-22T00:00:00"/>
          <d v="2022-08-09T00:00:00"/>
          <d v="2022-08-24T00:00:00"/>
          <d v="2022-08-23T00:00:00"/>
          <d v="2022-08-04T00:00:00"/>
          <d v="2022-08-12T00:00:00"/>
          <d v="2022-08-15T00:00:00"/>
          <d v="2022-08-10T00:00:00"/>
          <d v="2022-08-08T00:00:00"/>
          <d v="2022-08-03T00:00:00"/>
          <d v="2022-08-26T00:00:00"/>
          <d v="2022-08-29T00:00:00"/>
          <d v="2022-08-30T00:00:00"/>
          <d v="2022-08-25T00:00:00"/>
          <d v="2022-08-05T00:00:00"/>
          <d v="2022-09-05T00:00:00"/>
          <d v="2022-09-20T00:00:00"/>
          <d v="2022-09-19T00:00:00"/>
          <d v="2022-09-16T00:00:00"/>
          <d v="2022-09-15T00:00:00"/>
          <d v="2022-09-27T00:00:00"/>
          <d v="2022-09-28T00:00:00"/>
          <d v="2022-09-23T00:00:00"/>
          <d v="2022-09-26T00:00:00"/>
          <d v="2022-09-21T00:00:00"/>
          <d v="2022-09-22T00:00:00"/>
          <d v="2022-09-30T00:00:00"/>
          <d v="2022-09-29T00:00:00"/>
          <d v="2022-09-24T00:00:00"/>
          <d v="2022-09-13T00:00:00"/>
          <d v="2022-09-14T00:00:00"/>
          <d v="2022-09-02T00:00:00"/>
          <d v="2022-09-12T00:00:00"/>
          <d v="2022-09-09T00:00:00"/>
          <d v="2022-09-08T00:00:00"/>
          <d v="2022-09-07T00:00:00"/>
          <d v="2022-09-06T00:00:00"/>
          <d v="2022-09-01T00:00:00"/>
          <d v="2022-10-31T00:00:00"/>
          <d v="2022-10-28T00:00:00"/>
          <d v="2022-10-07T00:00:00"/>
          <d v="2022-10-21T00:00:00"/>
          <d v="2022-10-27T00:00:00"/>
          <d v="2022-10-26T00:00:00"/>
          <d v="2022-10-25T00:00:00"/>
          <d v="2022-10-18T00:00:00"/>
          <d v="2022-10-12T00:00:00"/>
          <d v="2022-10-13T00:00:00"/>
          <d v="2022-10-17T00:00:00"/>
          <d v="2022-10-20T00:00:00"/>
          <d v="2022-10-19T00:00:00"/>
          <d v="2022-10-14T00:00:00"/>
          <d v="2022-10-04T00:00:00"/>
          <d v="2022-10-05T00:00:00"/>
          <d v="2022-10-11T00:00:00"/>
          <d v="2022-10-10T00:00:00"/>
          <d v="2022-10-06T00:00:00"/>
          <d v="2022-10-03T00:00:00"/>
          <d v="2022-11-28T00:00:00"/>
          <d v="2022-11-25T00:00:00"/>
          <d v="2022-11-24T00:00:00"/>
          <d v="2022-11-29T00:00:00"/>
          <d v="2022-11-30T00:00:00"/>
          <d v="2022-11-09T00:00:00"/>
          <d v="2022-11-17T00:00:00"/>
          <d v="2022-11-23T00:00:00"/>
          <d v="2022-11-22T00:00:00"/>
          <d v="2022-11-15T00:00:00"/>
          <d v="2022-11-16T00:00:00"/>
          <d v="2022-11-11T00:00:00"/>
          <d v="2022-11-10T00:00:00"/>
          <d v="2022-11-21T00:00:00"/>
          <d v="2022-11-18T00:00:00"/>
          <d v="2022-11-14T00:00:00"/>
          <d v="2022-11-08T00:00:00"/>
          <d v="2022-11-13T00:00:00"/>
          <d v="2022-11-07T00:00:00"/>
          <d v="2022-11-02T00:00:00"/>
          <d v="2022-11-01T00:00:00"/>
          <d v="2022-11-04T00:00:00"/>
          <d v="2022-11-03T00:00:00"/>
          <d v="2023-11-01T00:00:00"/>
          <d v="2023-11-07T00:00:00"/>
          <d v="2022-11-26T00:00:00"/>
          <d v="2022-12-06T00:00:00"/>
          <d v="2022-12-08T00:00:00"/>
          <d v="2022-12-09T00:00:00"/>
          <d v="2022-12-05T00:00:00"/>
          <d v="2022-12-07T00:00:00"/>
          <d v="2022-12-01T00:00:00"/>
          <d v="2022-12-02T00:00:00"/>
          <d v="2022-12-03T00:00:00"/>
          <d v="2022-12-14T00:00:00"/>
          <d v="2022-12-13T00:00:00"/>
          <d v="2022-12-15T00:00:00"/>
          <d v="2022-12-19T00:00:00"/>
          <d v="2022-12-12T00:00:00"/>
          <d v="2022-12-23T00:00:00"/>
          <d v="2022-12-29T00:00:00"/>
          <d v="2022-12-28T00:00:00"/>
          <d v="2022-12-21T00:00:00"/>
          <d v="2022-12-20T00:00:00"/>
          <d v="2022-12-22T00:00:00"/>
          <d v="2022-12-30T00:00:00"/>
          <d v="2022-12-16T00:00:00"/>
          <d v="2023-12-09T00:00:00"/>
          <d v="2023-01-16T00:00:00"/>
          <d v="2023-01-27T00:00:00"/>
          <d v="2023-01-26T00:00:00"/>
          <d v="2023-01-13T00:00:00"/>
          <d v="2023-01-12T00:00:00"/>
          <d v="2023-01-11T00:00:00"/>
          <d v="2023-01-10T00:00:00"/>
          <d v="2023-01-06T00:00:00"/>
          <d v="2023-01-09T00:00:00"/>
          <d v="2023-01-17T00:00:00"/>
          <d v="2023-01-31T00:00:00"/>
          <d v="2023-01-30T00:00:00"/>
          <d v="2023-01-18T00:00:00"/>
          <d v="2023-01-25T00:00:00"/>
          <d v="2023-01-24T00:00:00"/>
          <d v="2023-01-23T00:00:00"/>
          <d v="2023-01-20T00:00:00"/>
          <d v="2023-01-19T00:00:00"/>
          <d v="2023-01-05T00:00:00"/>
          <d v="2023-01-04T00:00:00"/>
          <d v="2023-01-03T00:00:00"/>
          <d v="2023-02-14T00:00:00"/>
          <d v="2022-02-10T00:00:00"/>
          <d v="2023-02-13T00:00:00"/>
          <d v="2023-02-10T00:00:00"/>
          <d v="2023-02-07T00:00:00"/>
          <d v="2023-02-06T00:00:00"/>
          <d v="2023-02-08T00:00:00"/>
          <d v="2023-02-09T00:00:00"/>
          <d v="2023-02-22T00:00:00"/>
          <d v="2023-02-16T00:00:00"/>
          <d v="2023-02-17T00:00:00"/>
          <d v="2023-02-15T00:00:00"/>
          <d v="2023-02-23T00:00:00"/>
          <d v="2023-02-24T00:00:00"/>
          <d v="2023-02-03T00:00:00"/>
          <d v="2022-02-07T00:00:00"/>
          <d v="2023-02-05T00:00:00"/>
          <d v="2023-02-01T00:00:00"/>
          <d v="2023-02-02T00:00:00"/>
          <d v="2023-02-27T00:00:00"/>
          <d v="2023-02-28T00:00:00"/>
          <d v="2023-03-03T00:00:00"/>
          <d v="2023-03-02T00:00:00"/>
          <d v="2023-03-01T00:00:00"/>
          <d v="2023-03-14T00:00:00"/>
          <d v="2023-03-15T00:00:00"/>
          <d v="2023-03-10T00:00:00"/>
          <d v="2023-03-13T00:00:00"/>
          <d v="2023-03-09T00:00:00"/>
          <d v="2023-03-11T00:00:00"/>
          <d v="2023-03-07T00:00:00"/>
          <d v="2023-03-08T00:00:00"/>
          <d v="2023-03-06T00:00:00"/>
          <d v="2023-03-17T00:00:00"/>
          <d v="2023-03-16T00:00:00"/>
          <d v="2023-03-04T00:00:00"/>
          <d v="2023-03-05T00:00:00"/>
          <d v="2023-03-21T00:00:00"/>
          <d v="2023-03-20T00:00:00"/>
          <d v="2023-03-31T00:00:00"/>
          <d v="2023-03-28T00:00:00"/>
          <d v="2023-03-27T00:00:00"/>
          <d v="2023-03-29T00:00:00"/>
          <d v="2023-03-24T00:00:00"/>
          <d v="2023-03-23T00:00:00"/>
          <d v="2023-03-22T00:00:00"/>
          <d v="2023-04-26T00:00:00"/>
          <d v="2023-04-27T00:00:00"/>
          <d v="2023-04-28T00:00:00"/>
          <d v="2023-04-18T00:00:00"/>
          <d v="2023-04-21T00:00:00"/>
          <d v="2023-04-20T00:00:00"/>
          <d v="2023-04-19T00:00:00"/>
          <d v="2023-04-11T00:00:00"/>
          <d v="2023-04-14T00:00:00"/>
          <d v="2023-04-13T00:00:00"/>
          <d v="2023-04-12T00:00:00"/>
          <d v="2023-04-17T00:00:00"/>
          <d v="2023-04-24T00:00:00"/>
          <d v="2023-04-25T00:00:00"/>
          <d v="2023-04-06T00:00:00"/>
          <d v="2023-04-05T00:00:00"/>
          <d v="2023-04-04T00:00:00"/>
          <d v="2023-04-03T00:00:00"/>
          <d v="2023-04-23T00:00:00"/>
          <d v="2023-05-25T00:00:00"/>
          <d v="2023-05-24T00:00:00"/>
          <d v="2023-05-23T00:00:00"/>
          <d v="2023-05-22T00:00:00"/>
          <d v="2023-05-18T00:00:00"/>
          <d v="2023-05-19T00:00:00"/>
          <d v="2023-05-29T00:00:00"/>
          <d v="2023-05-26T00:00:00"/>
          <d v="2023-05-17T00:00:00"/>
          <d v="2023-05-31T00:00:00"/>
          <d v="2023-05-15T00:00:00"/>
          <d v="2023-05-01T00:00:00"/>
          <d v="2023-05-16T00:00:00"/>
          <d v="2023-05-12T00:00:00"/>
          <d v="2023-05-09T00:00:00"/>
          <d v="2023-05-11T00:00:00"/>
          <d v="2023-05-10T00:00:00"/>
          <d v="2023-05-08T00:00:00"/>
          <d v="2023-05-07T00:00:00"/>
          <d v="2023-05-05T00:00:00"/>
          <d v="2023-05-04T00:00:00"/>
          <d v="2023-05-03T00:00:00"/>
          <d v="2023-05-02T00:00:00"/>
          <d v="2023-06-20T00:00:00"/>
          <d v="2023-06-22T00:00:00"/>
          <d v="2023-06-21T00:00:00"/>
          <d v="2023-06-16T00:00:00"/>
          <d v="2023-06-13T00:00:00"/>
          <d v="2023-06-14T00:00:00"/>
          <d v="2023-06-17T00:00:00"/>
          <d v="2023-06-12T00:00:00"/>
          <d v="2023-06-15T00:00:00"/>
          <d v="2023-06-06T00:00:00"/>
          <d v="2023-06-09T00:00:00"/>
          <d v="2023-06-07T00:00:00"/>
          <d v="2023-06-26T00:00:00"/>
          <d v="2023-06-27T00:00:00"/>
          <d v="2023-06-28T00:00:00"/>
          <d v="2023-06-23T00:00:00"/>
          <d v="2023-06-29T00:00:00"/>
          <d v="2023-07-23T00:00:00"/>
          <d v="2023-06-30T00:00:00"/>
          <d v="2023-06-01T00:00:00"/>
          <d v="2023-06-05T00:00:00"/>
          <d v="2023-06-02T00:00:00"/>
          <d v="2023-07-29T00:00:00"/>
          <d v="2023-07-19T00:00:00"/>
          <d v="2023-07-28T00:00:00"/>
          <d v="2023-07-31T00:00:00"/>
          <d v="2023-07-25T00:00:00"/>
          <d v="2023-07-26T00:00:00"/>
          <d v="2023-07-27T00:00:00"/>
          <d v="2023-07-24T00:00:00"/>
          <d v="2023-07-21T00:00:00"/>
          <d v="2023-07-12T00:00:00"/>
          <d v="2023-07-20T00:00:00"/>
          <d v="2023-07-17T00:00:00"/>
          <d v="2023-07-13T00:00:00"/>
          <d v="2023-07-18T00:00:00"/>
          <d v="2023-07-14T00:00:00"/>
          <d v="2023-07-11T00:00:00"/>
          <d v="2023-07-10T00:00:00"/>
          <d v="2023-07-03T00:00:00"/>
          <d v="2023-07-04T00:00:00"/>
          <d v="2023-07-15T00:00:00"/>
          <d v="2023-07-07T00:00:00"/>
          <d v="2023-07-06T00:00:00"/>
          <d v="2023-07-05T00:00:00"/>
          <d v="2023-08-17T00:00:00"/>
          <d v="2023-08-16T00:00:00"/>
          <d v="2023-08-15T00:00:00"/>
          <d v="2023-08-22T00:00:00"/>
          <d v="2023-08-21T00:00:00"/>
          <d v="2023-08-18T00:00:00"/>
          <d v="2023-08-23T00:00:00"/>
          <d v="2023-08-29T00:00:00"/>
          <d v="2023-08-26T00:00:00"/>
          <d v="2023-08-28T00:00:00"/>
          <d v="2023-08-25T00:00:00"/>
          <d v="2023-08-10T00:00:00"/>
          <d v="2023-08-24T00:00:00"/>
          <d v="2023-08-03T00:00:00"/>
          <d v="2023-08-04T00:00:00"/>
          <d v="2023-08-02T00:00:00"/>
          <d v="2023-08-30T00:00:00"/>
          <d v="2023-08-07T00:00:00"/>
          <d v="2023-08-08T00:00:00"/>
          <d v="2023-08-09T00:00:00"/>
          <d v="2023-08-11T00:00:00"/>
          <d v="2023-08-14T00:00:00"/>
          <d v="2023-09-29T00:00:00"/>
          <d v="2023-09-28T00:00:00"/>
          <d v="2023-09-26T00:00:00"/>
          <d v="2023-09-27T00:00:00"/>
          <d v="2023-09-19T00:00:00"/>
          <d v="2023-09-05T00:00:00"/>
          <d v="2023-09-18T00:00:00"/>
          <d v="2023-09-20T00:00:00"/>
          <d v="2023-09-21T00:00:00"/>
          <d v="2023-09-22T00:00:00"/>
          <d v="2023-09-08T00:00:00"/>
          <d v="2023-09-11T00:00:00"/>
          <d v="2023-09-01T00:00:00"/>
          <d v="2023-09-12T00:00:00"/>
          <d v="2023-09-15T00:00:00"/>
          <d v="2023-09-14T00:00:00"/>
          <d v="2023-09-13T00:00:00"/>
          <d v="2023-09-04T00:00:00"/>
          <d v="2023-09-06T00:00:00"/>
          <d v="2023-09-07T00:00:00"/>
          <d v="2023-10-23T00:00:00"/>
          <d v="2023-10-11T00:00:00"/>
          <d v="2023-10-12T00:00:00"/>
          <d v="2023-10-16T00:00:00"/>
          <d v="2023-10-10T00:00:00"/>
          <d v="2023-10-13T00:00:00"/>
          <d v="2023-10-03T00:00:00"/>
          <d v="2023-10-06T00:00:00"/>
          <d v="2023-10-09T00:00:00"/>
          <d v="2023-10-05T00:00:00"/>
          <d v="2023-10-04T00:00:00"/>
          <d v="2023-10-07T00:00:00"/>
          <d v="2023-10-02T00:00:00"/>
          <d v="2023-10-24T00:00:00"/>
          <d v="2023-10-20T00:00:00"/>
          <d v="2023-10-19T00:00:00"/>
          <d v="2023-10-17T00:00:00"/>
          <d v="2023-10-18T00:00:00"/>
          <d v="2023-10-25T00:00:00"/>
          <d v="2023-10-27T00:00:00"/>
          <d v="2023-10-26T00:00:00"/>
          <d v="2023-10-30T00:00:00"/>
          <d v="2023-10-31T00:00:00"/>
          <d v="2023-11-03T00:00:00"/>
          <d v="2023-11-02T00:00:00"/>
          <d v="2023-11-08T00:00:00"/>
          <d v="2023-11-06T00:00:00"/>
          <d v="2023-11-09T00:00:00"/>
          <d v="2023-11-10T00:00:00"/>
          <d v="2023-11-14T00:00:00"/>
          <d v="2023-11-15T00:00:00"/>
          <d v="2023-11-21T00:00:00"/>
          <d v="2023-11-16T00:00:00"/>
          <d v="2023-11-17T00:00:00"/>
          <d v="2023-11-20T00:00:00"/>
          <d v="2023-11-22T00:00:00"/>
          <d v="2023-11-23T00:00:00"/>
          <d v="2023-11-27T00:00:00"/>
          <d v="2023-11-24T00:00:00"/>
          <d v="2023-11-28T00:00:00"/>
          <d v="2023-11-29T00:00:00"/>
          <d v="2023-11-30T00:00:00"/>
          <d v="2023-12-13T00:00:00"/>
          <d v="2023-12-11T00:00:00"/>
          <d v="2023-12-14T00:00:00"/>
          <d v="2023-12-12T00:00:00"/>
          <d v="2023-12-06T00:00:00"/>
          <d v="2023-12-07T00:00:00"/>
          <d v="2023-12-04T00:00:00"/>
          <d v="2023-12-08T00:00:00"/>
          <d v="2023-12-01T00:00:00"/>
          <d v="2023-12-05T00:00:00"/>
          <d v="2023-12-18T00:00:00"/>
          <d v="2023-12-19T00:00:00"/>
          <d v="2023-12-20T00:00:00"/>
          <d v="2023-12-21T00:00:00"/>
          <d v="2023-12-22T00:00:00"/>
          <d v="2023-12-29T00:00:00"/>
          <d v="2023-12-28T00:00:00"/>
          <d v="2023-12-27T00:00:00"/>
          <d v="2023-12-15T00:00:00"/>
          <d v="2024-01-17T00:00:00"/>
          <d v="2024-01-22T00:00:00"/>
          <d v="2024-01-19T00:00:00"/>
          <d v="2024-01-23T00:00:00"/>
          <d v="2024-01-12T00:00:00"/>
          <d v="2024-01-15T00:00:00"/>
          <d v="2024-01-09T00:00:00"/>
          <d v="2024-01-25T00:00:00"/>
          <d v="2024-01-24T00:00:00"/>
          <d v="2024-01-18T00:00:00"/>
          <d v="2024-01-11T00:00:00"/>
          <d v="2024-01-10T00:00:00"/>
          <d v="2024-01-20T00:00:00"/>
          <d v="2024-01-13T00:00:00"/>
          <d v="1900-01-17T00:00:00"/>
          <d v="2024-01-16T00:00:00"/>
          <d v="2024-01-05T00:00:00"/>
          <d v="2024-01-02T00:00:00"/>
          <d v="2024-01-08T00:00:00"/>
          <d v="2024-01-04T00:00:00"/>
          <d v="2024-01-03T00:00:00"/>
          <d v="2024-01-29T00:00:00"/>
          <d v="2024-01-26T00:00:00"/>
          <d v="2024-01-31T00:00:00"/>
          <d v="2024-01-30T00:00:00"/>
          <d v="2024-01-06T00:00:00"/>
          <d v="2024-02-02T00:00:00"/>
          <d v="2024-02-06T00:00:00"/>
          <d v="2024-02-05T00:00:00"/>
          <d v="2024-02-07T00:00:00"/>
          <d v="2024-02-01T00:00:00"/>
          <d v="2024-02-20T00:00:00"/>
          <d v="2024-02-16T00:00:00"/>
          <d v="2024-02-19T00:00:00"/>
          <d v="2024-02-15T00:00:00"/>
          <d v="2024-02-09T00:00:00"/>
          <d v="2024-02-08T00:00:00"/>
          <d v="2024-02-14T00:00:00"/>
          <d v="2024-02-23T00:00:00"/>
          <d v="2024-02-22T00:00:00"/>
          <d v="2024-02-24T00:00:00"/>
          <d v="2024-02-21T00:00:00"/>
          <d v="2024-02-29T00:00:00"/>
          <d v="2024-02-28T00:00:00"/>
          <d v="2024-02-27T00:00:00"/>
          <d v="2024-02-03T00:00:00"/>
          <d v="2024-03-25T00:00:00"/>
          <d v="2024-03-20T00:00:00"/>
          <d v="2024-03-19T00:00:00"/>
          <d v="2024-03-11T00:00:00"/>
          <d v="2024-03-18T00:00:00"/>
          <d v="2024-03-05T00:00:00"/>
          <d v="2024-03-22T00:00:00"/>
          <d v="2024-03-27T00:00:00"/>
          <d v="2024-03-12T00:00:00"/>
          <d v="2024-03-28T00:00:00"/>
          <d v="2024-03-21T00:00:00"/>
          <d v="2024-03-26T00:00:00"/>
          <d v="2024-03-15T00:00:00"/>
          <d v="2024-03-14T00:00:00"/>
          <d v="2024-03-13T00:00:00"/>
          <d v="2024-03-08T00:00:00"/>
          <d v="2024-03-06T00:00:00"/>
          <d v="2024-03-07T00:00:00"/>
          <d v="2024-03-01T00:00:00"/>
          <d v="2024-03-09T00:00:00"/>
          <d v="2024-03-04T00:00:00"/>
          <d v="2024-04-09T00:00:00"/>
          <d v="2024-04-04T00:00:00"/>
          <d v="2024-04-08T00:00:00"/>
          <d v="2024-04-02T00:00:00"/>
          <d v="2024-04-03T00:00:00"/>
          <d v="2024-04-05T00:00:00"/>
          <d v="2024-04-11T00:00:00"/>
          <d v="2024-04-12T00:00:00"/>
          <d v="2024-04-15T00:00:00"/>
          <d v="2024-04-17T00:00:00"/>
          <d v="2024-04-18T00:00:00"/>
          <d v="2024-04-16T00:00:00"/>
          <d v="2024-04-29T00:00:00"/>
          <d v="2024-04-26T00:00:00"/>
          <d v="2024-04-25T00:00:00"/>
          <d v="2024-04-30T00:00:00"/>
          <d v="2024-04-22T00:00:00"/>
          <d v="2024-04-24T00:00:00"/>
          <d v="2024-04-27T00:00:00"/>
          <d v="2024-04-23T00:00:00"/>
          <d v="2024-04-19T00:00:00"/>
          <d v="2024-05-27T00:00:00"/>
          <d v="2024-05-28T00:00:00"/>
          <d v="2024-05-24T00:00:00"/>
          <d v="2024-05-13T00:00:00"/>
          <d v="2024-05-10T00:00:00"/>
          <d v="2024-05-09T00:00:00"/>
          <d v="2024-05-20T00:00:00"/>
          <d v="2024-05-21T00:00:00"/>
          <d v="2024-05-22T00:00:00"/>
          <d v="2024-05-17T00:00:00"/>
          <d v="2024-05-14T00:00:00"/>
          <d v="2024-05-15T00:00:00"/>
          <d v="2024-05-16T00:00:00"/>
          <d v="2024-05-23T00:00:00"/>
          <d v="2024-05-08T00:00:00"/>
          <d v="2024-05-06T00:00:00"/>
          <d v="2024-05-02T00:00:00"/>
          <d v="2024-05-03T00:00:00"/>
          <d v="2024-05-07T00:00:00"/>
          <d v="2024-05-01T00:00:00"/>
          <d v="2024-05-29T00:00:00"/>
          <d v="2024-06-06T00:00:00"/>
          <d v="2024-06-12T00:00:00"/>
          <d v="2024-06-05T00:00:00"/>
          <d v="2024-06-10T00:00:00"/>
          <d v="2024-06-13T00:00:00"/>
          <d v="2024-06-14T00:00:00"/>
          <d v="2024-06-07T00:00:00"/>
          <d v="2024-06-03T00:00:00"/>
          <d v="2024-06-04T00:00:00"/>
          <d v="2024-06-20T00:00:00"/>
          <d v="2024-06-21T00:00:00"/>
          <d v="2024-06-18T00:00:00"/>
          <d v="2024-06-17T00:00:00"/>
          <d v="2024-06-11T00:00:00"/>
          <d v="2024-06-25T00:00:00"/>
          <d v="2024-06-24T00:00:00"/>
          <d v="2024-06-27T00:00:00"/>
          <d v="2024-06-26T00:00:00"/>
          <d v="2024-06-16T00:00:00"/>
          <d v="2024-06-28T00:00:00"/>
          <d v="2024-07-03T00:00:00"/>
          <d v="2024-07-02T00:00:00"/>
          <d v="2024-07-04T00:00:00"/>
          <d v="2024-07-10T00:00:00"/>
          <d v="2024-07-09T00:00:00"/>
          <d v="2024-07-11T00:00:00"/>
          <d v="2024-07-05T00:00:00"/>
          <d v="2024-07-08T00:00:00"/>
          <d v="2024-07-01T00:00:00"/>
          <d v="2024-07-15T00:00:00"/>
          <d v="2024-07-12T00:00:00"/>
          <d v="2024-07-18T00:00:00"/>
          <d v="2024-07-26T00:00:00"/>
          <d v="2024-07-29T00:00:00"/>
          <d v="2024-07-22T00:00:00"/>
          <d v="2024-07-17T00:00:00"/>
          <d v="2024-07-16T00:00:00"/>
          <d v="2024-07-19T00:00:00"/>
          <d v="2024-07-23T00:00:00"/>
          <d v="2024-07-30T00:00:00"/>
          <d v="2024-07-24T00:00:00"/>
          <d v="2024-07-25T00:00:00"/>
          <d v="2024-07-31T00:00:00"/>
          <d v="2024-08-02T00:00:00"/>
          <d v="2024-08-06T00:00:00"/>
          <d v="2024-08-05T00:00:00"/>
          <d v="2024-08-07T00:00:00"/>
          <d v="2024-08-08T00:00:00"/>
          <d v="2024-08-13T00:00:00"/>
          <d v="2024-08-12T00:00:00"/>
          <d v="2024-08-09T00:00:00"/>
          <d v="2024-08-19T00:00:00"/>
          <d v="2024-08-15T00:00:00"/>
          <d v="2024-08-16T00:00:00"/>
          <d v="2024-08-14T00:00:00"/>
          <d v="2024-08-21T00:00:00"/>
          <d v="2024-08-22T00:00:00"/>
          <d v="2024-08-20T00:00:00"/>
          <d v="2024-08-23T00:00:00"/>
          <d v="2024-08-27T00:00:00"/>
          <d v="2024-08-26T00:00:00"/>
          <d v="2024-08-30T00:00:00"/>
          <d v="2024-08-28T00:00:00"/>
          <d v="2024-08-29T00:00:00"/>
          <d v="2024-09-04T00:00:00"/>
          <d v="2024-09-02T00:00:00"/>
          <d v="2024-09-03T00:00:00"/>
          <d v="2024-09-05T00:00:00"/>
          <d v="2024-09-17T00:00:00"/>
          <d v="2024-09-12T00:00:00"/>
          <d v="2024-09-16T00:00:00"/>
          <d v="2024-09-18T00:00:00"/>
          <d v="2024-09-19T00:00:00"/>
          <d v="2024-09-11T00:00:00"/>
          <d v="2024-09-13T00:00:00"/>
          <d v="2024-09-20T00:00:00"/>
          <d v="2024-09-25T00:00:00"/>
          <d v="2024-09-27T00:00:00"/>
          <d v="2024-09-23T00:00:00"/>
          <d v="2024-09-09T00:00:00"/>
          <d v="2024-09-30T00:00:00"/>
          <d v="2024-09-26T00:00:00"/>
          <d v="2024-09-10T00:00:00"/>
          <d v="2024-09-14T00:00:00"/>
          <d v="2024-09-15T00:00:00"/>
          <d v="2024-09-06T00:00:00"/>
          <d v="2024-10-02T00:00:00"/>
          <d v="2024-10-08T00:00:00"/>
          <d v="2024-10-10T00:00:00"/>
          <d v="2024-10-04T00:00:00"/>
          <d v="2024-10-07T00:00:00"/>
          <d v="2024-10-14T00:00:00"/>
          <d v="2024-10-11T00:00:00"/>
          <d v="2024-10-15T00:00:00"/>
          <d v="2024-10-03T00:00:00"/>
          <d v="2024-10-01T00:00:00"/>
          <d v="2024-10-17T00:00:00"/>
          <d v="2024-10-16T00:00:00"/>
          <d v="2024-10-18T00:00:00"/>
          <d v="2024-10-21T00:00:00"/>
          <d v="2024-10-23T00:00:00"/>
          <d v="2024-10-22T00:00:00"/>
          <d v="2024-10-25T00:00:00"/>
          <d v="2024-10-24T00:00:00"/>
          <d v="2024-10-28T00:00:00"/>
          <d v="2024-10-29T00:00:00"/>
          <d v="2024-10-12T00:00:00"/>
          <d v="2024-10-13T00:00:00"/>
          <d v="2024-10-09T00:00:00"/>
          <d v="2024-10-30T00:00:00"/>
          <d v="2024-11-06T00:00:00"/>
          <d v="2024-11-08T00:00:00"/>
          <d v="2024-11-07T00:00:00"/>
          <d v="2024-11-04T00:00:00"/>
          <d v="2024-11-05T00:00:00"/>
          <d v="2024-11-01T00:00:00"/>
          <d v="2024-11-11T00:00:00"/>
          <d v="2024-11-13T00:00:00"/>
          <d v="2024-11-12T00:00:00"/>
          <d v="2024-11-14T00:00:00"/>
          <d v="2024-11-15T00:00:00"/>
          <d v="2024-11-18T00:00:00"/>
          <d v="2024-11-19T00:00:00"/>
          <d v="2024-11-20T00:00:00"/>
          <d v="2024-11-22T00:00:00"/>
          <d v="2024-11-21T00:00:00"/>
          <d v="2024-11-25T00:00:00"/>
          <d v="2024-11-26T00:00:00"/>
          <d v="2024-11-28T00:00:00"/>
          <d v="2024-11-29T00:00:00"/>
          <d v="2024-11-27T00:00:00"/>
          <d v="2024-12-04T00:00:00"/>
          <d v="2024-12-11T00:00:00"/>
          <d v="2024-12-12T00:00:00"/>
          <d v="2024-12-09T00:00:00"/>
          <d v="2024-12-13T00:00:00"/>
          <d v="2024-12-06T00:00:00"/>
          <d v="2024-12-02T00:00:00"/>
          <d v="2024-12-03T00:00:00"/>
          <d v="2024-12-05T00:00:00"/>
          <d v="2024-12-10T00:00:00"/>
          <d v="2024-12-07T00:00:00"/>
          <d v="2024-12-16T00:00:00"/>
          <d v="2024-12-17T00:00:00"/>
          <d v="2024-12-19T00:00:00"/>
          <d v="2024-12-20T00:00:00"/>
          <d v="2024-12-18T00:00:00"/>
          <d v="2024-12-23T00:00:00"/>
          <d v="2024-12-24T00:00:00"/>
          <d v="2024-12-27T00:00:00"/>
          <d v="2024-12-30T00:00:00"/>
          <d v="2025-12-13T00:00:00"/>
          <d v="2025-01-07T00:00:00"/>
          <d v="2025-01-09T00:00:00"/>
          <d v="2025-01-06T00:00:00"/>
          <d v="2025-01-08T00:00:00"/>
          <d v="2025-01-03T00:00:00"/>
          <d v="2025-01-02T00:00:00"/>
          <d v="2025-01-15T00:00:00"/>
          <d v="2025-01-13T00:00:00"/>
          <d v="2025-01-14T00:00:00"/>
          <d v="2025-01-16T00:00:00"/>
          <d v="2025-01-17T00:00:00"/>
          <d v="2025-01-10T00:00:00"/>
          <d v="2025-01-20T00:00:00"/>
          <d v="2025-01-22T00:00:00"/>
          <d v="2025-01-23T00:00:00"/>
          <d v="2025-01-21T00:00:00"/>
          <d v="2025-01-24T00:00:00"/>
          <d v="2025-01-28T00:00:00"/>
          <d v="2025-01-29T00:00:00"/>
          <d v="2025-01-27T00:00:00"/>
          <d v="2025-01-30T00:00:00"/>
          <d v="2025-01-31T00:00:00"/>
          <d v="2025-02-03T00:00:00"/>
          <d v="2025-02-07T00:00:00"/>
          <d v="2025-02-11T00:00:00"/>
          <d v="2025-02-18T00:00:00"/>
          <d v="2025-02-10T00:00:00"/>
          <d v="2025-02-14T00:00:00"/>
          <d v="2025-02-13T00:00:00"/>
          <d v="2025-02-05T00:00:00"/>
          <d v="2025-02-25T00:00:00"/>
          <d v="2025-02-26T00:00:00"/>
          <d v="2025-02-06T00:00:00"/>
          <d v="2025-02-04T00:00:00"/>
          <d v="2025-02-12T00:00:00"/>
          <d v="2025-02-20T00:00:00"/>
          <d v="2025-02-19T00:00:00"/>
          <d v="2025-02-21T00:00:00"/>
          <d v="2025-02-17T00:00:00"/>
          <d v="2025-02-27T00:00:00"/>
          <d v="2025-02-28T00:00: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0"/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0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23FF15-2D60-40FA-B0D1-40AA51411A77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1">
  <location ref="A3:B6" firstHeaderRow="1" firstDataRow="1" firstDataCol="1"/>
  <pivotFields count="25">
    <pivotField dataField="1" showAll="0"/>
    <pivotField showAll="0"/>
    <pivotField showAll="0">
      <items count="777">
        <item m="1" x="693"/>
        <item m="1" x="508"/>
        <item m="1" x="638"/>
        <item m="1" x="728"/>
        <item m="1" x="540"/>
        <item m="1" x="680"/>
        <item m="1" x="489"/>
        <item m="1" x="621"/>
        <item m="1" x="715"/>
        <item m="1" x="529"/>
        <item m="1" x="665"/>
        <item m="1" x="471"/>
        <item m="1" x="607"/>
        <item m="1" x="703"/>
        <item m="1" x="519"/>
        <item m="1" x="649"/>
        <item m="1" x="453"/>
        <item m="1" x="592"/>
        <item m="1" x="501"/>
        <item m="1" x="632"/>
        <item m="1" x="760"/>
        <item m="1" x="616"/>
        <item m="1" x="482"/>
        <item m="1" x="675"/>
        <item m="1" x="749"/>
        <item m="1" x="565"/>
        <item m="1" x="465"/>
        <item m="1" x="660"/>
        <item m="1" x="602"/>
        <item m="1" x="740"/>
        <item m="1" x="555"/>
        <item m="1" x="586"/>
        <item m="1" x="771"/>
        <item m="1" x="643"/>
        <item m="1" x="544"/>
        <item m="1" x="627"/>
        <item m="1" x="731"/>
        <item m="1" x="718"/>
        <item m="1" x="756"/>
        <item m="1" x="572"/>
        <item m="1" x="533"/>
        <item m="1" x="757"/>
        <item m="1" x="477"/>
        <item m="1" x="612"/>
        <item m="1" x="459"/>
        <item m="1" x="661"/>
        <item m="1" x="466"/>
        <item m="1" x="741"/>
        <item m="1" x="514"/>
        <item m="1" x="644"/>
        <item m="1" x="732"/>
        <item m="1" x="495"/>
        <item m="1" x="603"/>
        <item m="1" x="719"/>
        <item m="1" x="747"/>
        <item m="1" x="562"/>
        <item m="1" x="553"/>
        <item m="1" x="587"/>
        <item m="1" x="772"/>
        <item m="1" x="727"/>
        <item m="1" x="628"/>
        <item m="1" x="573"/>
        <item m="1" x="708"/>
        <item m="1" x="598"/>
        <item m="1" x="483"/>
        <item m="1" x="578"/>
        <item m="1" x="502"/>
        <item m="1" x="454"/>
        <item m="1" x="520"/>
        <item m="1" x="593"/>
        <item m="1" x="472"/>
        <item m="1" x="750"/>
        <item m="1" x="676"/>
        <item m="1" x="617"/>
        <item m="1" x="530"/>
        <item m="1" x="666"/>
        <item m="1" x="761"/>
        <item m="1" x="633"/>
        <item m="1" x="704"/>
        <item m="1" x="650"/>
        <item m="1" x="608"/>
        <item m="1" x="716"/>
        <item m="1" x="623"/>
        <item m="1" x="566"/>
        <item x="19"/>
        <item m="1" x="720"/>
        <item m="1" x="629"/>
        <item m="1" x="545"/>
        <item m="1" x="496"/>
        <item m="1" x="534"/>
        <item m="1" x="671"/>
        <item m="1" x="478"/>
        <item m="1" x="685"/>
        <item m="1" x="613"/>
        <item m="1" x="524"/>
        <item m="1" x="709"/>
        <item m="1" x="460"/>
        <item m="1" x="694"/>
        <item m="1" x="599"/>
        <item m="1" x="639"/>
        <item m="1" x="767"/>
        <item m="1" x="509"/>
        <item m="1" x="584"/>
        <item m="1" x="655"/>
        <item m="1" x="490"/>
        <item m="1" x="567"/>
        <item m="1" x="604"/>
        <item m="1" x="634"/>
        <item m="1" x="698"/>
        <item m="1" x="556"/>
        <item m="1" x="742"/>
        <item m="1" x="773"/>
        <item m="1" x="618"/>
        <item m="1" x="733"/>
        <item m="1" x="588"/>
        <item m="1" x="579"/>
        <item m="1" x="712"/>
        <item m="1" x="467"/>
        <item m="1" x="751"/>
        <item m="1" x="484"/>
        <item m="1" x="762"/>
        <item m="1" x="686"/>
        <item m="1" x="758"/>
        <item m="1" x="574"/>
        <item m="1" x="546"/>
        <item m="1" x="724"/>
        <item m="1" x="695"/>
        <item m="1" x="473"/>
        <item m="1" x="667"/>
        <item m="1" x="570"/>
        <item m="1" x="753"/>
        <item m="1" x="455"/>
        <item m="1" x="594"/>
        <item m="1" x="559"/>
        <item m="1" x="651"/>
        <item m="1" x="609"/>
        <item m="1" x="743"/>
        <item m="1" x="550"/>
        <item m="1" x="736"/>
        <item m="1" x="705"/>
        <item m="1" x="491"/>
        <item m="1" x="624"/>
        <item m="1" x="600"/>
        <item m="1" x="681"/>
        <item m="1" x="585"/>
        <item m="1" x="768"/>
        <item m="1" x="640"/>
        <item m="1" x="510"/>
        <item m="1" x="461"/>
        <item m="1" x="656"/>
        <item m="1" x="563"/>
        <item m="1" x="605"/>
        <item m="1" x="575"/>
        <item m="1" x="748"/>
        <item m="1" x="614"/>
        <item m="1" x="479"/>
        <item m="1" x="497"/>
        <item m="1" x="645"/>
        <item m="1" x="774"/>
        <item m="1" x="687"/>
        <item m="1" x="759"/>
        <item m="1" x="630"/>
        <item m="1" x="589"/>
        <item m="1" x="527"/>
        <item m="1" x="662"/>
        <item m="1" x="515"/>
        <item m="1" x="699"/>
        <item m="1" x="468"/>
        <item m="1" x="713"/>
        <item m="1" x="538"/>
        <item m="1" x="763"/>
        <item m="1" x="635"/>
        <item m="1" x="677"/>
        <item m="1" x="485"/>
        <item m="1" x="531"/>
        <item m="1" x="652"/>
        <item m="1" x="503"/>
        <item m="1" x="690"/>
        <item m="1" x="706"/>
        <item m="1" x="521"/>
        <item m="1" x="474"/>
        <item m="1" x="668"/>
        <item m="1" x="551"/>
        <item m="1" x="456"/>
        <item m="1" x="560"/>
        <item m="1" x="717"/>
        <item m="1" x="744"/>
        <item m="1" x="571"/>
        <item m="1" x="542"/>
        <item m="1" x="729"/>
        <item m="1" x="492"/>
        <item m="1" x="682"/>
        <item m="1" x="322"/>
        <item m="1" x="325"/>
        <item m="1" x="580"/>
        <item m="1" x="734"/>
        <item m="1" x="688"/>
        <item m="1" x="498"/>
        <item m="1" x="590"/>
        <item m="1" x="547"/>
        <item m="1" x="700"/>
        <item m="1" x="516"/>
        <item m="1" x="646"/>
        <item m="1" x="535"/>
        <item m="1" x="721"/>
        <item m="1" x="672"/>
        <item m="1" x="564"/>
        <item m="1" x="576"/>
        <item m="1" x="462"/>
        <item m="1" x="641"/>
        <item m="1" x="511"/>
        <item m="1" x="525"/>
        <item m="1" x="710"/>
        <item m="1" x="657"/>
        <item m="1" x="769"/>
        <item m="1" x="480"/>
        <item m="1" x="507"/>
        <item m="1" x="522"/>
        <item m="1" x="725"/>
        <item m="1" x="581"/>
        <item m="1" x="745"/>
        <item m="1" x="610"/>
        <item m="1" x="475"/>
        <item m="1" x="669"/>
        <item m="1" x="754"/>
        <item m="1" x="532"/>
        <item m="1" x="653"/>
        <item m="1" x="619"/>
        <item m="1" x="486"/>
        <item m="1" x="457"/>
        <item m="1" x="764"/>
        <item m="1" x="636"/>
        <item m="1" x="504"/>
        <item m="1" x="737"/>
        <item m="1" x="595"/>
        <item m="1" x="625"/>
        <item m="1" x="493"/>
        <item m="1" x="683"/>
        <item m="1" x="536"/>
        <item m="1" x="622"/>
        <item m="1" x="722"/>
        <item m="1" x="631"/>
        <item m="1" x="548"/>
        <item m="1" x="735"/>
        <item m="1" x="689"/>
        <item m="1" x="499"/>
        <item m="1" x="658"/>
        <item m="1" x="481"/>
        <item m="1" x="615"/>
        <item m="1" x="673"/>
        <item m="1" x="463"/>
        <item m="1" x="601"/>
        <item m="1" x="647"/>
        <item m="1" x="541"/>
        <item m="1" x="591"/>
        <item m="1" x="701"/>
        <item m="1" x="517"/>
        <item m="1" x="696"/>
        <item m="1" x="512"/>
        <item m="1" x="611"/>
        <item m="1" x="476"/>
        <item m="1" x="670"/>
        <item m="1" x="505"/>
        <item m="1" x="637"/>
        <item m="1" x="596"/>
        <item m="1" x="691"/>
        <item m="1" x="458"/>
        <item m="1" x="738"/>
        <item m="1" x="523"/>
        <item m="1" x="654"/>
        <item m="1" x="707"/>
        <item m="1" x="582"/>
        <item m="1" x="765"/>
        <item m="1" x="746"/>
        <item m="1" x="561"/>
        <item m="1" x="487"/>
        <item m="1" x="678"/>
        <item m="1" x="557"/>
        <item m="1" x="469"/>
        <item m="1" x="663"/>
        <item m="1" x="606"/>
        <item m="1" x="568"/>
        <item m="1" x="752"/>
        <item m="1" x="620"/>
        <item m="1" x="494"/>
        <item m="1" x="626"/>
        <item m="1" x="755"/>
        <item m="1" x="697"/>
        <item m="1" x="770"/>
        <item m="1" x="642"/>
        <item m="1" x="513"/>
        <item m="1" x="711"/>
        <item m="1" x="464"/>
        <item m="1" x="659"/>
        <item m="1" x="526"/>
        <item m="1" x="554"/>
        <item m="1" x="543"/>
        <item m="1" x="684"/>
        <item m="1" x="674"/>
        <item m="1" x="537"/>
        <item m="1" x="723"/>
        <item m="1" x="577"/>
        <item m="1" x="730"/>
        <item m="1" x="648"/>
        <item m="1" x="518"/>
        <item m="1" x="702"/>
        <item m="1" x="558"/>
        <item m="1" x="664"/>
        <item m="1" x="470"/>
        <item m="1" x="549"/>
        <item m="1" x="775"/>
        <item m="1" x="528"/>
        <item m="1" x="500"/>
        <item m="1" x="569"/>
        <item m="1" x="597"/>
        <item m="1" x="714"/>
        <item m="1" x="488"/>
        <item m="1" x="726"/>
        <item m="1" x="679"/>
        <item m="1" x="539"/>
        <item m="1" x="583"/>
        <item m="1" x="766"/>
        <item m="1" x="506"/>
        <item m="1" x="692"/>
        <item m="1" x="552"/>
        <item m="1" x="73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9"/>
        <item m="1" x="426"/>
        <item m="1" x="427"/>
        <item m="1" x="428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65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23"/>
        <item m="1" x="324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5"/>
        <item m="1" x="271"/>
        <item m="1" x="272"/>
        <item m="1" x="273"/>
        <item m="1" x="274"/>
        <item m="1" x="276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9"/>
        <item m="1" x="128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2"/>
        <item m="1" x="4"/>
        <item h="1" x="0"/>
        <item x="1"/>
        <item h="1" x="3"/>
        <item m="1" x="6"/>
        <item m="1" x="5"/>
        <item t="default"/>
      </items>
    </pivotField>
    <pivotField showAll="0"/>
    <pivotField showAll="0"/>
    <pivotField showAll="0"/>
    <pivotField showAll="0"/>
    <pivotField showAll="0">
      <items count="757">
        <item x="0"/>
        <item x="1"/>
        <item x="2"/>
        <item x="3"/>
        <item x="4"/>
        <item x="20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</pivotField>
  </pivotFields>
  <rowFields count="1">
    <field x="19"/>
  </rowFields>
  <rowItems count="3">
    <i>
      <x/>
    </i>
    <i>
      <x v="3"/>
    </i>
    <i t="grand">
      <x/>
    </i>
  </rowItems>
  <colItems count="1">
    <i/>
  </colItems>
  <dataFields count="1">
    <dataField name="Count of No." fld="0" subtotal="count" showDataAs="percentOfTotal" baseField="17" baseItem="1" numFmtId="1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170F1-329E-48BA-80BC-9E9FE087F553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25">
  <location ref="A3:B9" firstHeaderRow="1" firstDataRow="1" firstDataCol="1"/>
  <pivotFields count="25">
    <pivotField dataField="1" showAll="0"/>
    <pivotField showAll="0"/>
    <pivotField showAll="0">
      <items count="777">
        <item m="1" x="693"/>
        <item m="1" x="508"/>
        <item m="1" x="638"/>
        <item m="1" x="728"/>
        <item m="1" x="540"/>
        <item m="1" x="680"/>
        <item m="1" x="489"/>
        <item m="1" x="621"/>
        <item m="1" x="715"/>
        <item m="1" x="529"/>
        <item m="1" x="665"/>
        <item m="1" x="471"/>
        <item m="1" x="607"/>
        <item m="1" x="703"/>
        <item m="1" x="519"/>
        <item m="1" x="649"/>
        <item m="1" x="453"/>
        <item m="1" x="592"/>
        <item m="1" x="501"/>
        <item m="1" x="632"/>
        <item m="1" x="760"/>
        <item m="1" x="616"/>
        <item m="1" x="482"/>
        <item m="1" x="675"/>
        <item m="1" x="749"/>
        <item m="1" x="565"/>
        <item m="1" x="465"/>
        <item m="1" x="660"/>
        <item m="1" x="602"/>
        <item m="1" x="740"/>
        <item m="1" x="555"/>
        <item m="1" x="586"/>
        <item m="1" x="771"/>
        <item m="1" x="643"/>
        <item m="1" x="544"/>
        <item m="1" x="627"/>
        <item m="1" x="731"/>
        <item m="1" x="718"/>
        <item m="1" x="756"/>
        <item m="1" x="572"/>
        <item m="1" x="533"/>
        <item m="1" x="757"/>
        <item m="1" x="477"/>
        <item m="1" x="612"/>
        <item m="1" x="459"/>
        <item m="1" x="661"/>
        <item m="1" x="466"/>
        <item m="1" x="741"/>
        <item m="1" x="514"/>
        <item m="1" x="644"/>
        <item m="1" x="732"/>
        <item m="1" x="495"/>
        <item m="1" x="603"/>
        <item m="1" x="719"/>
        <item m="1" x="747"/>
        <item m="1" x="562"/>
        <item m="1" x="553"/>
        <item m="1" x="587"/>
        <item m="1" x="772"/>
        <item m="1" x="727"/>
        <item m="1" x="628"/>
        <item m="1" x="573"/>
        <item m="1" x="708"/>
        <item m="1" x="598"/>
        <item m="1" x="483"/>
        <item m="1" x="578"/>
        <item m="1" x="502"/>
        <item m="1" x="454"/>
        <item m="1" x="520"/>
        <item m="1" x="593"/>
        <item m="1" x="472"/>
        <item m="1" x="750"/>
        <item m="1" x="676"/>
        <item m="1" x="617"/>
        <item m="1" x="530"/>
        <item m="1" x="666"/>
        <item m="1" x="761"/>
        <item m="1" x="633"/>
        <item m="1" x="704"/>
        <item m="1" x="650"/>
        <item m="1" x="608"/>
        <item m="1" x="716"/>
        <item m="1" x="623"/>
        <item m="1" x="566"/>
        <item x="19"/>
        <item m="1" x="720"/>
        <item m="1" x="629"/>
        <item m="1" x="545"/>
        <item m="1" x="496"/>
        <item m="1" x="534"/>
        <item m="1" x="671"/>
        <item m="1" x="478"/>
        <item m="1" x="685"/>
        <item m="1" x="613"/>
        <item m="1" x="524"/>
        <item m="1" x="709"/>
        <item m="1" x="460"/>
        <item m="1" x="694"/>
        <item m="1" x="599"/>
        <item m="1" x="639"/>
        <item m="1" x="767"/>
        <item m="1" x="509"/>
        <item m="1" x="584"/>
        <item m="1" x="655"/>
        <item m="1" x="490"/>
        <item m="1" x="567"/>
        <item m="1" x="604"/>
        <item m="1" x="634"/>
        <item m="1" x="698"/>
        <item m="1" x="556"/>
        <item m="1" x="742"/>
        <item m="1" x="773"/>
        <item m="1" x="618"/>
        <item m="1" x="733"/>
        <item m="1" x="588"/>
        <item m="1" x="579"/>
        <item m="1" x="712"/>
        <item m="1" x="467"/>
        <item m="1" x="751"/>
        <item m="1" x="484"/>
        <item m="1" x="762"/>
        <item m="1" x="686"/>
        <item m="1" x="758"/>
        <item m="1" x="574"/>
        <item m="1" x="546"/>
        <item m="1" x="724"/>
        <item m="1" x="695"/>
        <item m="1" x="473"/>
        <item m="1" x="667"/>
        <item m="1" x="570"/>
        <item m="1" x="753"/>
        <item m="1" x="455"/>
        <item m="1" x="594"/>
        <item m="1" x="559"/>
        <item m="1" x="651"/>
        <item m="1" x="609"/>
        <item m="1" x="743"/>
        <item m="1" x="550"/>
        <item m="1" x="736"/>
        <item m="1" x="705"/>
        <item m="1" x="491"/>
        <item m="1" x="624"/>
        <item m="1" x="600"/>
        <item m="1" x="681"/>
        <item m="1" x="585"/>
        <item m="1" x="768"/>
        <item m="1" x="640"/>
        <item m="1" x="510"/>
        <item m="1" x="461"/>
        <item m="1" x="656"/>
        <item m="1" x="563"/>
        <item m="1" x="605"/>
        <item m="1" x="575"/>
        <item m="1" x="748"/>
        <item m="1" x="614"/>
        <item m="1" x="479"/>
        <item m="1" x="497"/>
        <item m="1" x="645"/>
        <item m="1" x="774"/>
        <item m="1" x="687"/>
        <item m="1" x="759"/>
        <item m="1" x="630"/>
        <item m="1" x="589"/>
        <item m="1" x="527"/>
        <item m="1" x="662"/>
        <item m="1" x="515"/>
        <item m="1" x="699"/>
        <item m="1" x="468"/>
        <item m="1" x="713"/>
        <item m="1" x="538"/>
        <item m="1" x="763"/>
        <item m="1" x="635"/>
        <item m="1" x="677"/>
        <item m="1" x="485"/>
        <item m="1" x="531"/>
        <item m="1" x="652"/>
        <item m="1" x="503"/>
        <item m="1" x="690"/>
        <item m="1" x="706"/>
        <item m="1" x="521"/>
        <item m="1" x="474"/>
        <item m="1" x="668"/>
        <item m="1" x="551"/>
        <item m="1" x="456"/>
        <item m="1" x="560"/>
        <item m="1" x="717"/>
        <item m="1" x="744"/>
        <item m="1" x="571"/>
        <item m="1" x="542"/>
        <item m="1" x="729"/>
        <item m="1" x="492"/>
        <item m="1" x="682"/>
        <item m="1" x="322"/>
        <item m="1" x="325"/>
        <item m="1" x="580"/>
        <item m="1" x="734"/>
        <item m="1" x="688"/>
        <item m="1" x="498"/>
        <item m="1" x="590"/>
        <item m="1" x="547"/>
        <item m="1" x="700"/>
        <item m="1" x="516"/>
        <item m="1" x="646"/>
        <item m="1" x="535"/>
        <item m="1" x="721"/>
        <item m="1" x="672"/>
        <item m="1" x="564"/>
        <item m="1" x="576"/>
        <item m="1" x="462"/>
        <item m="1" x="641"/>
        <item m="1" x="511"/>
        <item m="1" x="525"/>
        <item m="1" x="710"/>
        <item m="1" x="657"/>
        <item m="1" x="769"/>
        <item m="1" x="480"/>
        <item m="1" x="507"/>
        <item m="1" x="522"/>
        <item m="1" x="725"/>
        <item m="1" x="581"/>
        <item m="1" x="745"/>
        <item m="1" x="610"/>
        <item m="1" x="475"/>
        <item m="1" x="669"/>
        <item m="1" x="754"/>
        <item m="1" x="532"/>
        <item m="1" x="653"/>
        <item m="1" x="619"/>
        <item m="1" x="486"/>
        <item m="1" x="457"/>
        <item m="1" x="764"/>
        <item m="1" x="636"/>
        <item m="1" x="504"/>
        <item m="1" x="737"/>
        <item m="1" x="595"/>
        <item m="1" x="625"/>
        <item m="1" x="493"/>
        <item m="1" x="683"/>
        <item m="1" x="536"/>
        <item m="1" x="622"/>
        <item m="1" x="722"/>
        <item m="1" x="631"/>
        <item m="1" x="548"/>
        <item m="1" x="735"/>
        <item m="1" x="689"/>
        <item m="1" x="499"/>
        <item m="1" x="658"/>
        <item m="1" x="481"/>
        <item m="1" x="615"/>
        <item m="1" x="673"/>
        <item m="1" x="463"/>
        <item m="1" x="601"/>
        <item m="1" x="647"/>
        <item m="1" x="541"/>
        <item m="1" x="591"/>
        <item m="1" x="701"/>
        <item m="1" x="517"/>
        <item m="1" x="696"/>
        <item m="1" x="512"/>
        <item m="1" x="611"/>
        <item m="1" x="476"/>
        <item m="1" x="670"/>
        <item m="1" x="505"/>
        <item m="1" x="637"/>
        <item m="1" x="596"/>
        <item m="1" x="691"/>
        <item m="1" x="458"/>
        <item m="1" x="738"/>
        <item m="1" x="523"/>
        <item m="1" x="654"/>
        <item m="1" x="707"/>
        <item m="1" x="582"/>
        <item m="1" x="765"/>
        <item m="1" x="746"/>
        <item m="1" x="561"/>
        <item m="1" x="487"/>
        <item m="1" x="678"/>
        <item m="1" x="557"/>
        <item m="1" x="469"/>
        <item m="1" x="663"/>
        <item m="1" x="606"/>
        <item m="1" x="568"/>
        <item m="1" x="752"/>
        <item m="1" x="620"/>
        <item m="1" x="494"/>
        <item m="1" x="626"/>
        <item m="1" x="755"/>
        <item m="1" x="697"/>
        <item m="1" x="770"/>
        <item m="1" x="642"/>
        <item m="1" x="513"/>
        <item m="1" x="711"/>
        <item m="1" x="464"/>
        <item m="1" x="659"/>
        <item m="1" x="526"/>
        <item m="1" x="554"/>
        <item m="1" x="543"/>
        <item m="1" x="684"/>
        <item m="1" x="674"/>
        <item m="1" x="537"/>
        <item m="1" x="723"/>
        <item m="1" x="577"/>
        <item m="1" x="730"/>
        <item m="1" x="648"/>
        <item m="1" x="518"/>
        <item m="1" x="702"/>
        <item m="1" x="558"/>
        <item m="1" x="664"/>
        <item m="1" x="470"/>
        <item m="1" x="549"/>
        <item m="1" x="775"/>
        <item m="1" x="528"/>
        <item m="1" x="500"/>
        <item m="1" x="569"/>
        <item m="1" x="597"/>
        <item m="1" x="714"/>
        <item m="1" x="488"/>
        <item m="1" x="726"/>
        <item m="1" x="679"/>
        <item m="1" x="539"/>
        <item m="1" x="583"/>
        <item m="1" x="766"/>
        <item m="1" x="506"/>
        <item m="1" x="692"/>
        <item m="1" x="552"/>
        <item m="1" x="73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9"/>
        <item m="1" x="426"/>
        <item m="1" x="427"/>
        <item m="1" x="428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65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23"/>
        <item m="1" x="324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5"/>
        <item m="1" x="271"/>
        <item m="1" x="272"/>
        <item m="1" x="273"/>
        <item m="1" x="274"/>
        <item m="1" x="276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9"/>
        <item m="1" x="128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16">
        <item m="1" x="14"/>
        <item m="1" x="7"/>
        <item x="0"/>
        <item x="2"/>
        <item m="1" x="13"/>
        <item x="1"/>
        <item x="3"/>
        <item m="1" x="11"/>
        <item x="4"/>
        <item m="1" x="12"/>
        <item h="1" x="5"/>
        <item m="1" x="8"/>
        <item h="1" m="1" x="10"/>
        <item h="1" m="1" x="9"/>
        <item h="1"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57">
        <item x="0"/>
        <item x="1"/>
        <item x="2"/>
        <item x="3"/>
        <item x="4"/>
        <item x="20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</pivotField>
  </pivotFields>
  <rowFields count="1">
    <field x="5"/>
  </rowFields>
  <rowItems count="6">
    <i>
      <x v="2"/>
    </i>
    <i>
      <x v="3"/>
    </i>
    <i>
      <x v="5"/>
    </i>
    <i>
      <x v="6"/>
    </i>
    <i>
      <x v="8"/>
    </i>
    <i t="grand">
      <x/>
    </i>
  </rowItems>
  <colItems count="1">
    <i/>
  </colItems>
  <dataFields count="1">
    <dataField name="Count of No." fld="0" subtotal="count" showDataAs="percentOfCol" baseField="5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D8D1CD-7E80-42C7-967C-CC5D164CD5E9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21">
  <location ref="A3:B7" firstHeaderRow="1" firstDataRow="1" firstDataCol="1"/>
  <pivotFields count="25">
    <pivotField dataField="1" showAll="0"/>
    <pivotField showAll="0"/>
    <pivotField showAll="0">
      <items count="777">
        <item m="1" x="693"/>
        <item m="1" x="508"/>
        <item m="1" x="638"/>
        <item m="1" x="728"/>
        <item m="1" x="540"/>
        <item m="1" x="680"/>
        <item m="1" x="489"/>
        <item m="1" x="621"/>
        <item m="1" x="715"/>
        <item m="1" x="529"/>
        <item m="1" x="665"/>
        <item m="1" x="471"/>
        <item m="1" x="607"/>
        <item m="1" x="703"/>
        <item m="1" x="519"/>
        <item m="1" x="649"/>
        <item m="1" x="453"/>
        <item m="1" x="592"/>
        <item m="1" x="501"/>
        <item m="1" x="632"/>
        <item m="1" x="760"/>
        <item m="1" x="616"/>
        <item m="1" x="482"/>
        <item m="1" x="675"/>
        <item m="1" x="749"/>
        <item m="1" x="565"/>
        <item m="1" x="465"/>
        <item m="1" x="660"/>
        <item m="1" x="602"/>
        <item m="1" x="740"/>
        <item m="1" x="555"/>
        <item m="1" x="586"/>
        <item m="1" x="771"/>
        <item m="1" x="643"/>
        <item m="1" x="544"/>
        <item m="1" x="627"/>
        <item m="1" x="731"/>
        <item m="1" x="718"/>
        <item m="1" x="756"/>
        <item m="1" x="572"/>
        <item m="1" x="533"/>
        <item m="1" x="757"/>
        <item m="1" x="477"/>
        <item m="1" x="612"/>
        <item m="1" x="459"/>
        <item m="1" x="661"/>
        <item m="1" x="466"/>
        <item m="1" x="741"/>
        <item m="1" x="514"/>
        <item m="1" x="644"/>
        <item m="1" x="732"/>
        <item m="1" x="495"/>
        <item m="1" x="603"/>
        <item m="1" x="719"/>
        <item m="1" x="747"/>
        <item m="1" x="562"/>
        <item m="1" x="553"/>
        <item m="1" x="587"/>
        <item m="1" x="772"/>
        <item m="1" x="727"/>
        <item m="1" x="628"/>
        <item m="1" x="573"/>
        <item m="1" x="708"/>
        <item m="1" x="598"/>
        <item m="1" x="483"/>
        <item m="1" x="578"/>
        <item m="1" x="502"/>
        <item m="1" x="454"/>
        <item m="1" x="520"/>
        <item m="1" x="593"/>
        <item m="1" x="472"/>
        <item m="1" x="750"/>
        <item m="1" x="676"/>
        <item m="1" x="617"/>
        <item m="1" x="530"/>
        <item m="1" x="666"/>
        <item m="1" x="761"/>
        <item m="1" x="633"/>
        <item m="1" x="704"/>
        <item m="1" x="650"/>
        <item m="1" x="608"/>
        <item m="1" x="716"/>
        <item m="1" x="623"/>
        <item m="1" x="566"/>
        <item x="19"/>
        <item m="1" x="720"/>
        <item m="1" x="629"/>
        <item m="1" x="545"/>
        <item m="1" x="496"/>
        <item m="1" x="534"/>
        <item m="1" x="671"/>
        <item m="1" x="478"/>
        <item m="1" x="685"/>
        <item m="1" x="613"/>
        <item m="1" x="524"/>
        <item m="1" x="709"/>
        <item m="1" x="460"/>
        <item m="1" x="694"/>
        <item m="1" x="599"/>
        <item m="1" x="639"/>
        <item m="1" x="767"/>
        <item m="1" x="509"/>
        <item m="1" x="584"/>
        <item m="1" x="655"/>
        <item m="1" x="490"/>
        <item m="1" x="567"/>
        <item m="1" x="604"/>
        <item m="1" x="634"/>
        <item m="1" x="698"/>
        <item m="1" x="556"/>
        <item m="1" x="742"/>
        <item m="1" x="773"/>
        <item m="1" x="618"/>
        <item m="1" x="733"/>
        <item m="1" x="588"/>
        <item m="1" x="579"/>
        <item m="1" x="712"/>
        <item m="1" x="467"/>
        <item m="1" x="751"/>
        <item m="1" x="484"/>
        <item m="1" x="762"/>
        <item m="1" x="686"/>
        <item m="1" x="758"/>
        <item m="1" x="574"/>
        <item m="1" x="546"/>
        <item m="1" x="724"/>
        <item m="1" x="695"/>
        <item m="1" x="473"/>
        <item m="1" x="667"/>
        <item m="1" x="570"/>
        <item m="1" x="753"/>
        <item m="1" x="455"/>
        <item m="1" x="594"/>
        <item m="1" x="559"/>
        <item m="1" x="651"/>
        <item m="1" x="609"/>
        <item m="1" x="743"/>
        <item m="1" x="550"/>
        <item m="1" x="736"/>
        <item m="1" x="705"/>
        <item m="1" x="491"/>
        <item m="1" x="624"/>
        <item m="1" x="600"/>
        <item m="1" x="681"/>
        <item m="1" x="585"/>
        <item m="1" x="768"/>
        <item m="1" x="640"/>
        <item m="1" x="510"/>
        <item m="1" x="461"/>
        <item m="1" x="656"/>
        <item m="1" x="563"/>
        <item m="1" x="605"/>
        <item m="1" x="575"/>
        <item m="1" x="748"/>
        <item m="1" x="614"/>
        <item m="1" x="479"/>
        <item m="1" x="497"/>
        <item m="1" x="645"/>
        <item m="1" x="774"/>
        <item m="1" x="687"/>
        <item m="1" x="759"/>
        <item m="1" x="630"/>
        <item m="1" x="589"/>
        <item m="1" x="527"/>
        <item m="1" x="662"/>
        <item m="1" x="515"/>
        <item m="1" x="699"/>
        <item m="1" x="468"/>
        <item m="1" x="713"/>
        <item m="1" x="538"/>
        <item m="1" x="763"/>
        <item m="1" x="635"/>
        <item m="1" x="677"/>
        <item m="1" x="485"/>
        <item m="1" x="531"/>
        <item m="1" x="652"/>
        <item m="1" x="503"/>
        <item m="1" x="690"/>
        <item m="1" x="706"/>
        <item m="1" x="521"/>
        <item m="1" x="474"/>
        <item m="1" x="668"/>
        <item m="1" x="551"/>
        <item m="1" x="456"/>
        <item m="1" x="560"/>
        <item m="1" x="717"/>
        <item m="1" x="744"/>
        <item m="1" x="571"/>
        <item m="1" x="542"/>
        <item m="1" x="729"/>
        <item m="1" x="492"/>
        <item m="1" x="682"/>
        <item m="1" x="322"/>
        <item m="1" x="325"/>
        <item m="1" x="580"/>
        <item m="1" x="734"/>
        <item m="1" x="688"/>
        <item m="1" x="498"/>
        <item m="1" x="590"/>
        <item m="1" x="547"/>
        <item m="1" x="700"/>
        <item m="1" x="516"/>
        <item m="1" x="646"/>
        <item m="1" x="535"/>
        <item m="1" x="721"/>
        <item m="1" x="672"/>
        <item m="1" x="564"/>
        <item m="1" x="576"/>
        <item m="1" x="462"/>
        <item m="1" x="641"/>
        <item m="1" x="511"/>
        <item m="1" x="525"/>
        <item m="1" x="710"/>
        <item m="1" x="657"/>
        <item m="1" x="769"/>
        <item m="1" x="480"/>
        <item m="1" x="507"/>
        <item m="1" x="522"/>
        <item m="1" x="725"/>
        <item m="1" x="581"/>
        <item m="1" x="745"/>
        <item m="1" x="610"/>
        <item m="1" x="475"/>
        <item m="1" x="669"/>
        <item m="1" x="754"/>
        <item m="1" x="532"/>
        <item m="1" x="653"/>
        <item m="1" x="619"/>
        <item m="1" x="486"/>
        <item m="1" x="457"/>
        <item m="1" x="764"/>
        <item m="1" x="636"/>
        <item m="1" x="504"/>
        <item m="1" x="737"/>
        <item m="1" x="595"/>
        <item m="1" x="625"/>
        <item m="1" x="493"/>
        <item m="1" x="683"/>
        <item m="1" x="536"/>
        <item m="1" x="622"/>
        <item m="1" x="722"/>
        <item m="1" x="631"/>
        <item m="1" x="548"/>
        <item m="1" x="735"/>
        <item m="1" x="689"/>
        <item m="1" x="499"/>
        <item m="1" x="658"/>
        <item m="1" x="481"/>
        <item m="1" x="615"/>
        <item m="1" x="673"/>
        <item m="1" x="463"/>
        <item m="1" x="601"/>
        <item m="1" x="647"/>
        <item m="1" x="541"/>
        <item m="1" x="591"/>
        <item m="1" x="701"/>
        <item m="1" x="517"/>
        <item m="1" x="696"/>
        <item m="1" x="512"/>
        <item m="1" x="611"/>
        <item m="1" x="476"/>
        <item m="1" x="670"/>
        <item m="1" x="505"/>
        <item m="1" x="637"/>
        <item m="1" x="596"/>
        <item m="1" x="691"/>
        <item m="1" x="458"/>
        <item m="1" x="738"/>
        <item m="1" x="523"/>
        <item m="1" x="654"/>
        <item m="1" x="707"/>
        <item m="1" x="582"/>
        <item m="1" x="765"/>
        <item m="1" x="746"/>
        <item m="1" x="561"/>
        <item m="1" x="487"/>
        <item m="1" x="678"/>
        <item m="1" x="557"/>
        <item m="1" x="469"/>
        <item m="1" x="663"/>
        <item m="1" x="606"/>
        <item m="1" x="568"/>
        <item m="1" x="752"/>
        <item m="1" x="620"/>
        <item m="1" x="494"/>
        <item m="1" x="626"/>
        <item m="1" x="755"/>
        <item m="1" x="697"/>
        <item m="1" x="770"/>
        <item m="1" x="642"/>
        <item m="1" x="513"/>
        <item m="1" x="711"/>
        <item m="1" x="464"/>
        <item m="1" x="659"/>
        <item m="1" x="526"/>
        <item m="1" x="554"/>
        <item m="1" x="543"/>
        <item m="1" x="684"/>
        <item m="1" x="674"/>
        <item m="1" x="537"/>
        <item m="1" x="723"/>
        <item m="1" x="577"/>
        <item m="1" x="730"/>
        <item m="1" x="648"/>
        <item m="1" x="518"/>
        <item m="1" x="702"/>
        <item m="1" x="558"/>
        <item m="1" x="664"/>
        <item m="1" x="470"/>
        <item m="1" x="549"/>
        <item m="1" x="775"/>
        <item m="1" x="528"/>
        <item m="1" x="500"/>
        <item m="1" x="569"/>
        <item m="1" x="597"/>
        <item m="1" x="714"/>
        <item m="1" x="488"/>
        <item m="1" x="726"/>
        <item m="1" x="679"/>
        <item m="1" x="539"/>
        <item m="1" x="583"/>
        <item m="1" x="766"/>
        <item m="1" x="506"/>
        <item m="1" x="692"/>
        <item m="1" x="552"/>
        <item m="1" x="73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9"/>
        <item m="1" x="426"/>
        <item m="1" x="427"/>
        <item m="1" x="428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65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23"/>
        <item m="1" x="324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5"/>
        <item m="1" x="271"/>
        <item m="1" x="272"/>
        <item m="1" x="273"/>
        <item m="1" x="274"/>
        <item m="1" x="276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9"/>
        <item m="1" x="128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axis="axisRow" showAll="0">
      <items count="6">
        <item x="1"/>
        <item x="0"/>
        <item x="2"/>
        <item h="1" x="3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57">
        <item x="0"/>
        <item x="1"/>
        <item x="2"/>
        <item x="3"/>
        <item x="4"/>
        <item x="20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No." fld="0" subtotal="count" showDataAs="percentOfCol" baseField="6" baseItem="0" numFmtId="1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9AA2C4-E440-4AC8-B8D1-2311BFB4BDCD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42">
  <location ref="A3:B10" firstHeaderRow="1" firstDataRow="1" firstDataCol="1"/>
  <pivotFields count="25">
    <pivotField dataField="1" showAll="0"/>
    <pivotField showAll="0"/>
    <pivotField showAll="0">
      <items count="777">
        <item m="1" x="693"/>
        <item m="1" x="508"/>
        <item m="1" x="638"/>
        <item m="1" x="728"/>
        <item m="1" x="540"/>
        <item m="1" x="680"/>
        <item m="1" x="489"/>
        <item m="1" x="621"/>
        <item m="1" x="715"/>
        <item m="1" x="529"/>
        <item m="1" x="665"/>
        <item m="1" x="471"/>
        <item m="1" x="607"/>
        <item m="1" x="703"/>
        <item m="1" x="519"/>
        <item m="1" x="649"/>
        <item m="1" x="453"/>
        <item m="1" x="592"/>
        <item m="1" x="501"/>
        <item m="1" x="632"/>
        <item m="1" x="760"/>
        <item m="1" x="616"/>
        <item m="1" x="482"/>
        <item m="1" x="675"/>
        <item m="1" x="749"/>
        <item m="1" x="565"/>
        <item m="1" x="465"/>
        <item m="1" x="660"/>
        <item m="1" x="602"/>
        <item m="1" x="740"/>
        <item m="1" x="555"/>
        <item m="1" x="586"/>
        <item m="1" x="771"/>
        <item m="1" x="643"/>
        <item m="1" x="544"/>
        <item m="1" x="627"/>
        <item m="1" x="731"/>
        <item m="1" x="718"/>
        <item m="1" x="756"/>
        <item m="1" x="572"/>
        <item m="1" x="533"/>
        <item m="1" x="757"/>
        <item m="1" x="477"/>
        <item m="1" x="612"/>
        <item m="1" x="459"/>
        <item m="1" x="661"/>
        <item m="1" x="466"/>
        <item m="1" x="741"/>
        <item m="1" x="514"/>
        <item m="1" x="644"/>
        <item m="1" x="732"/>
        <item m="1" x="495"/>
        <item m="1" x="603"/>
        <item m="1" x="719"/>
        <item m="1" x="747"/>
        <item m="1" x="562"/>
        <item m="1" x="553"/>
        <item m="1" x="587"/>
        <item m="1" x="772"/>
        <item m="1" x="727"/>
        <item m="1" x="628"/>
        <item m="1" x="573"/>
        <item m="1" x="708"/>
        <item m="1" x="598"/>
        <item m="1" x="483"/>
        <item m="1" x="578"/>
        <item m="1" x="502"/>
        <item m="1" x="454"/>
        <item m="1" x="520"/>
        <item m="1" x="593"/>
        <item m="1" x="472"/>
        <item m="1" x="750"/>
        <item m="1" x="676"/>
        <item m="1" x="617"/>
        <item m="1" x="530"/>
        <item m="1" x="666"/>
        <item m="1" x="761"/>
        <item m="1" x="633"/>
        <item m="1" x="704"/>
        <item m="1" x="650"/>
        <item m="1" x="608"/>
        <item m="1" x="716"/>
        <item m="1" x="623"/>
        <item m="1" x="566"/>
        <item x="19"/>
        <item m="1" x="720"/>
        <item m="1" x="629"/>
        <item m="1" x="545"/>
        <item m="1" x="496"/>
        <item m="1" x="534"/>
        <item m="1" x="671"/>
        <item m="1" x="478"/>
        <item m="1" x="685"/>
        <item m="1" x="613"/>
        <item m="1" x="524"/>
        <item m="1" x="709"/>
        <item m="1" x="460"/>
        <item m="1" x="694"/>
        <item m="1" x="599"/>
        <item m="1" x="639"/>
        <item m="1" x="767"/>
        <item m="1" x="509"/>
        <item m="1" x="584"/>
        <item m="1" x="655"/>
        <item m="1" x="490"/>
        <item m="1" x="567"/>
        <item m="1" x="604"/>
        <item m="1" x="634"/>
        <item m="1" x="698"/>
        <item m="1" x="556"/>
        <item m="1" x="742"/>
        <item m="1" x="773"/>
        <item m="1" x="618"/>
        <item m="1" x="733"/>
        <item m="1" x="588"/>
        <item m="1" x="579"/>
        <item m="1" x="712"/>
        <item m="1" x="467"/>
        <item m="1" x="751"/>
        <item m="1" x="484"/>
        <item m="1" x="762"/>
        <item m="1" x="686"/>
        <item m="1" x="758"/>
        <item m="1" x="574"/>
        <item m="1" x="546"/>
        <item m="1" x="724"/>
        <item m="1" x="695"/>
        <item m="1" x="473"/>
        <item m="1" x="667"/>
        <item m="1" x="570"/>
        <item m="1" x="753"/>
        <item m="1" x="455"/>
        <item m="1" x="594"/>
        <item m="1" x="559"/>
        <item m="1" x="651"/>
        <item m="1" x="609"/>
        <item m="1" x="743"/>
        <item m="1" x="550"/>
        <item m="1" x="736"/>
        <item m="1" x="705"/>
        <item m="1" x="491"/>
        <item m="1" x="624"/>
        <item m="1" x="600"/>
        <item m="1" x="681"/>
        <item m="1" x="585"/>
        <item m="1" x="768"/>
        <item m="1" x="640"/>
        <item m="1" x="510"/>
        <item m="1" x="461"/>
        <item m="1" x="656"/>
        <item m="1" x="563"/>
        <item m="1" x="605"/>
        <item m="1" x="575"/>
        <item m="1" x="748"/>
        <item m="1" x="614"/>
        <item m="1" x="479"/>
        <item m="1" x="497"/>
        <item m="1" x="645"/>
        <item m="1" x="774"/>
        <item m="1" x="687"/>
        <item m="1" x="759"/>
        <item m="1" x="630"/>
        <item m="1" x="589"/>
        <item m="1" x="527"/>
        <item m="1" x="662"/>
        <item m="1" x="515"/>
        <item m="1" x="699"/>
        <item m="1" x="468"/>
        <item m="1" x="713"/>
        <item m="1" x="538"/>
        <item m="1" x="763"/>
        <item m="1" x="635"/>
        <item m="1" x="677"/>
        <item m="1" x="485"/>
        <item m="1" x="531"/>
        <item m="1" x="652"/>
        <item m="1" x="503"/>
        <item m="1" x="690"/>
        <item m="1" x="706"/>
        <item m="1" x="521"/>
        <item m="1" x="474"/>
        <item m="1" x="668"/>
        <item m="1" x="551"/>
        <item m="1" x="456"/>
        <item m="1" x="560"/>
        <item m="1" x="717"/>
        <item m="1" x="744"/>
        <item m="1" x="571"/>
        <item m="1" x="542"/>
        <item m="1" x="729"/>
        <item m="1" x="492"/>
        <item m="1" x="682"/>
        <item m="1" x="322"/>
        <item m="1" x="325"/>
        <item m="1" x="580"/>
        <item m="1" x="734"/>
        <item m="1" x="688"/>
        <item m="1" x="498"/>
        <item m="1" x="590"/>
        <item m="1" x="547"/>
        <item m="1" x="700"/>
        <item m="1" x="516"/>
        <item m="1" x="646"/>
        <item m="1" x="535"/>
        <item m="1" x="721"/>
        <item m="1" x="672"/>
        <item m="1" x="564"/>
        <item m="1" x="576"/>
        <item m="1" x="462"/>
        <item m="1" x="641"/>
        <item m="1" x="511"/>
        <item m="1" x="525"/>
        <item m="1" x="710"/>
        <item m="1" x="657"/>
        <item m="1" x="769"/>
        <item m="1" x="480"/>
        <item m="1" x="507"/>
        <item m="1" x="522"/>
        <item m="1" x="725"/>
        <item m="1" x="581"/>
        <item m="1" x="745"/>
        <item m="1" x="610"/>
        <item m="1" x="475"/>
        <item m="1" x="669"/>
        <item m="1" x="754"/>
        <item m="1" x="532"/>
        <item m="1" x="653"/>
        <item m="1" x="619"/>
        <item m="1" x="486"/>
        <item m="1" x="457"/>
        <item m="1" x="764"/>
        <item m="1" x="636"/>
        <item m="1" x="504"/>
        <item m="1" x="737"/>
        <item m="1" x="595"/>
        <item m="1" x="625"/>
        <item m="1" x="493"/>
        <item m="1" x="683"/>
        <item m="1" x="536"/>
        <item m="1" x="622"/>
        <item m="1" x="722"/>
        <item m="1" x="631"/>
        <item m="1" x="548"/>
        <item m="1" x="735"/>
        <item m="1" x="689"/>
        <item m="1" x="499"/>
        <item m="1" x="658"/>
        <item m="1" x="481"/>
        <item m="1" x="615"/>
        <item m="1" x="673"/>
        <item m="1" x="463"/>
        <item m="1" x="601"/>
        <item m="1" x="647"/>
        <item m="1" x="541"/>
        <item m="1" x="591"/>
        <item m="1" x="701"/>
        <item m="1" x="517"/>
        <item m="1" x="696"/>
        <item m="1" x="512"/>
        <item m="1" x="611"/>
        <item m="1" x="476"/>
        <item m="1" x="670"/>
        <item m="1" x="505"/>
        <item m="1" x="637"/>
        <item m="1" x="596"/>
        <item m="1" x="691"/>
        <item m="1" x="458"/>
        <item m="1" x="738"/>
        <item m="1" x="523"/>
        <item m="1" x="654"/>
        <item m="1" x="707"/>
        <item m="1" x="582"/>
        <item m="1" x="765"/>
        <item m="1" x="746"/>
        <item m="1" x="561"/>
        <item m="1" x="487"/>
        <item m="1" x="678"/>
        <item m="1" x="557"/>
        <item m="1" x="469"/>
        <item m="1" x="663"/>
        <item m="1" x="606"/>
        <item m="1" x="568"/>
        <item m="1" x="752"/>
        <item m="1" x="620"/>
        <item m="1" x="494"/>
        <item m="1" x="626"/>
        <item m="1" x="755"/>
        <item m="1" x="697"/>
        <item m="1" x="770"/>
        <item m="1" x="642"/>
        <item m="1" x="513"/>
        <item m="1" x="711"/>
        <item m="1" x="464"/>
        <item m="1" x="659"/>
        <item m="1" x="526"/>
        <item m="1" x="554"/>
        <item m="1" x="543"/>
        <item m="1" x="684"/>
        <item m="1" x="674"/>
        <item m="1" x="537"/>
        <item m="1" x="723"/>
        <item m="1" x="577"/>
        <item m="1" x="730"/>
        <item m="1" x="648"/>
        <item m="1" x="518"/>
        <item m="1" x="702"/>
        <item m="1" x="558"/>
        <item m="1" x="664"/>
        <item m="1" x="470"/>
        <item m="1" x="549"/>
        <item m="1" x="775"/>
        <item m="1" x="528"/>
        <item m="1" x="500"/>
        <item m="1" x="569"/>
        <item m="1" x="597"/>
        <item m="1" x="714"/>
        <item m="1" x="488"/>
        <item m="1" x="726"/>
        <item m="1" x="679"/>
        <item m="1" x="539"/>
        <item m="1" x="583"/>
        <item m="1" x="766"/>
        <item m="1" x="506"/>
        <item m="1" x="692"/>
        <item m="1" x="552"/>
        <item m="1" x="73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9"/>
        <item m="1" x="426"/>
        <item m="1" x="427"/>
        <item m="1" x="428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65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23"/>
        <item m="1" x="324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5"/>
        <item m="1" x="271"/>
        <item m="1" x="272"/>
        <item m="1" x="273"/>
        <item m="1" x="274"/>
        <item m="1" x="276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9"/>
        <item m="1" x="128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3"/>
        <item m="1" x="7"/>
        <item x="1"/>
        <item x="0"/>
        <item m="1" x="9"/>
        <item x="5"/>
        <item h="1" x="6"/>
        <item m="1" x="8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57">
        <item x="0"/>
        <item x="1"/>
        <item x="2"/>
        <item x="3"/>
        <item x="4"/>
        <item x="20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</pivotField>
  </pivotFields>
  <rowFields count="1">
    <field x="10"/>
  </rowFields>
  <rowItems count="7">
    <i>
      <x/>
    </i>
    <i>
      <x v="2"/>
    </i>
    <i>
      <x v="3"/>
    </i>
    <i>
      <x v="5"/>
    </i>
    <i>
      <x v="8"/>
    </i>
    <i>
      <x v="9"/>
    </i>
    <i t="grand">
      <x/>
    </i>
  </rowItems>
  <colItems count="1">
    <i/>
  </colItems>
  <dataFields count="1">
    <dataField name="Count of No." fld="0" subtotal="count" baseField="1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EC273E-085A-407A-8CBC-CC02B2BA182E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31">
  <location ref="A3:B6" firstHeaderRow="1" firstDataRow="1" firstDataCol="1"/>
  <pivotFields count="25">
    <pivotField showAll="0"/>
    <pivotField showAll="0"/>
    <pivotField numFmtId="165" showAll="0">
      <items count="777">
        <item m="1" x="727"/>
        <item m="1" x="693"/>
        <item m="1" x="508"/>
        <item m="1" x="638"/>
        <item m="1" x="728"/>
        <item m="1" x="540"/>
        <item m="1" x="680"/>
        <item m="1" x="489"/>
        <item m="1" x="621"/>
        <item m="1" x="715"/>
        <item m="1" x="529"/>
        <item m="1" x="665"/>
        <item m="1" x="471"/>
        <item m="1" x="607"/>
        <item m="1" x="703"/>
        <item m="1" x="519"/>
        <item m="1" x="649"/>
        <item m="1" x="453"/>
        <item m="1" x="592"/>
        <item m="1" x="501"/>
        <item m="1" x="632"/>
        <item m="1" x="760"/>
        <item m="1" x="675"/>
        <item m="1" x="482"/>
        <item m="1" x="616"/>
        <item m="1" x="749"/>
        <item m="1" x="565"/>
        <item m="1" x="660"/>
        <item m="1" x="465"/>
        <item m="1" x="602"/>
        <item m="1" x="740"/>
        <item m="1" x="555"/>
        <item m="1" x="643"/>
        <item m="1" x="771"/>
        <item m="1" x="586"/>
        <item m="1" x="731"/>
        <item m="1" x="544"/>
        <item m="1" x="627"/>
        <item m="1" x="756"/>
        <item m="1" x="572"/>
        <item m="1" x="718"/>
        <item m="1" x="533"/>
        <item m="1" x="661"/>
        <item m="1" x="466"/>
        <item m="1" x="603"/>
        <item m="1" x="741"/>
        <item m="1" x="514"/>
        <item m="1" x="644"/>
        <item m="1" x="772"/>
        <item m="1" x="587"/>
        <item m="1" x="732"/>
        <item m="1" x="495"/>
        <item m="1" x="628"/>
        <item m="1" x="757"/>
        <item m="1" x="573"/>
        <item m="1" x="719"/>
        <item m="1" x="477"/>
        <item m="1" x="612"/>
        <item m="1" x="747"/>
        <item m="1" x="562"/>
        <item m="1" x="708"/>
        <item m="1" x="459"/>
        <item m="1" x="598"/>
        <item m="1" x="553"/>
        <item m="1" x="483"/>
        <item m="1" x="578"/>
        <item m="1" x="502"/>
        <item m="1" x="454"/>
        <item m="1" x="520"/>
        <item m="1" x="593"/>
        <item m="1" x="472"/>
        <item m="1" x="750"/>
        <item m="1" x="676"/>
        <item m="1" x="617"/>
        <item m="1" x="530"/>
        <item m="1" x="666"/>
        <item m="1" x="761"/>
        <item m="1" x="633"/>
        <item m="1" x="704"/>
        <item m="1" x="650"/>
        <item m="1" x="608"/>
        <item m="1" x="716"/>
        <item m="1" x="623"/>
        <item m="1" x="566"/>
        <item x="19"/>
        <item m="1" x="720"/>
        <item m="1" x="629"/>
        <item m="1" x="545"/>
        <item m="1" x="496"/>
        <item m="1" x="534"/>
        <item m="1" x="671"/>
        <item m="1" x="478"/>
        <item m="1" x="685"/>
        <item m="1" x="613"/>
        <item m="1" x="524"/>
        <item m="1" x="709"/>
        <item m="1" x="460"/>
        <item m="1" x="694"/>
        <item m="1" x="599"/>
        <item m="1" x="639"/>
        <item m="1" x="767"/>
        <item m="1" x="509"/>
        <item m="1" x="584"/>
        <item m="1" x="655"/>
        <item m="1" x="490"/>
        <item m="1" x="567"/>
        <item m="1" x="604"/>
        <item m="1" x="634"/>
        <item m="1" x="698"/>
        <item m="1" x="556"/>
        <item m="1" x="742"/>
        <item m="1" x="773"/>
        <item m="1" x="618"/>
        <item m="1" x="733"/>
        <item m="1" x="588"/>
        <item m="1" x="579"/>
        <item m="1" x="712"/>
        <item m="1" x="467"/>
        <item m="1" x="751"/>
        <item m="1" x="484"/>
        <item m="1" x="762"/>
        <item m="1" x="686"/>
        <item m="1" x="758"/>
        <item m="1" x="574"/>
        <item m="1" x="546"/>
        <item m="1" x="724"/>
        <item m="1" x="695"/>
        <item m="1" x="473"/>
        <item m="1" x="667"/>
        <item m="1" x="570"/>
        <item m="1" x="753"/>
        <item m="1" x="455"/>
        <item m="1" x="594"/>
        <item m="1" x="559"/>
        <item m="1" x="651"/>
        <item m="1" x="609"/>
        <item m="1" x="743"/>
        <item m="1" x="550"/>
        <item m="1" x="736"/>
        <item m="1" x="705"/>
        <item m="1" x="491"/>
        <item m="1" x="624"/>
        <item m="1" x="600"/>
        <item m="1" x="681"/>
        <item m="1" x="585"/>
        <item m="1" x="768"/>
        <item m="1" x="640"/>
        <item m="1" x="510"/>
        <item m="1" x="461"/>
        <item m="1" x="656"/>
        <item m="1" x="563"/>
        <item m="1" x="605"/>
        <item m="1" x="575"/>
        <item m="1" x="748"/>
        <item m="1" x="614"/>
        <item m="1" x="479"/>
        <item m="1" x="497"/>
        <item m="1" x="645"/>
        <item m="1" x="774"/>
        <item m="1" x="687"/>
        <item m="1" x="759"/>
        <item m="1" x="630"/>
        <item m="1" x="589"/>
        <item m="1" x="527"/>
        <item m="1" x="662"/>
        <item m="1" x="515"/>
        <item m="1" x="699"/>
        <item m="1" x="468"/>
        <item m="1" x="713"/>
        <item m="1" x="538"/>
        <item m="1" x="763"/>
        <item m="1" x="635"/>
        <item m="1" x="677"/>
        <item m="1" x="485"/>
        <item m="1" x="531"/>
        <item m="1" x="652"/>
        <item m="1" x="503"/>
        <item m="1" x="690"/>
        <item m="1" x="706"/>
        <item m="1" x="521"/>
        <item m="1" x="474"/>
        <item m="1" x="668"/>
        <item m="1" x="551"/>
        <item m="1" x="456"/>
        <item m="1" x="560"/>
        <item m="1" x="717"/>
        <item m="1" x="744"/>
        <item m="1" x="571"/>
        <item m="1" x="542"/>
        <item m="1" x="729"/>
        <item m="1" x="492"/>
        <item m="1" x="682"/>
        <item m="1" x="322"/>
        <item m="1" x="325"/>
        <item m="1" x="580"/>
        <item m="1" x="734"/>
        <item m="1" x="688"/>
        <item m="1" x="498"/>
        <item m="1" x="590"/>
        <item m="1" x="547"/>
        <item m="1" x="700"/>
        <item m="1" x="516"/>
        <item m="1" x="646"/>
        <item m="1" x="535"/>
        <item m="1" x="721"/>
        <item m="1" x="672"/>
        <item m="1" x="564"/>
        <item m="1" x="576"/>
        <item m="1" x="462"/>
        <item m="1" x="641"/>
        <item m="1" x="511"/>
        <item m="1" x="525"/>
        <item m="1" x="710"/>
        <item m="1" x="657"/>
        <item m="1" x="769"/>
        <item m="1" x="480"/>
        <item m="1" x="507"/>
        <item m="1" x="522"/>
        <item m="1" x="725"/>
        <item m="1" x="581"/>
        <item m="1" x="745"/>
        <item m="1" x="610"/>
        <item m="1" x="475"/>
        <item m="1" x="669"/>
        <item m="1" x="754"/>
        <item m="1" x="532"/>
        <item m="1" x="653"/>
        <item m="1" x="619"/>
        <item m="1" x="486"/>
        <item m="1" x="457"/>
        <item m="1" x="764"/>
        <item m="1" x="636"/>
        <item m="1" x="504"/>
        <item m="1" x="737"/>
        <item m="1" x="595"/>
        <item m="1" x="625"/>
        <item m="1" x="493"/>
        <item m="1" x="683"/>
        <item m="1" x="536"/>
        <item m="1" x="622"/>
        <item m="1" x="722"/>
        <item m="1" x="631"/>
        <item m="1" x="548"/>
        <item m="1" x="735"/>
        <item m="1" x="689"/>
        <item m="1" x="499"/>
        <item m="1" x="658"/>
        <item m="1" x="481"/>
        <item m="1" x="615"/>
        <item m="1" x="673"/>
        <item m="1" x="463"/>
        <item m="1" x="601"/>
        <item m="1" x="647"/>
        <item m="1" x="541"/>
        <item m="1" x="591"/>
        <item m="1" x="701"/>
        <item m="1" x="517"/>
        <item m="1" x="696"/>
        <item m="1" x="512"/>
        <item m="1" x="611"/>
        <item m="1" x="476"/>
        <item m="1" x="670"/>
        <item m="1" x="505"/>
        <item m="1" x="637"/>
        <item m="1" x="596"/>
        <item m="1" x="691"/>
        <item m="1" x="458"/>
        <item m="1" x="738"/>
        <item m="1" x="523"/>
        <item m="1" x="654"/>
        <item m="1" x="707"/>
        <item m="1" x="582"/>
        <item m="1" x="765"/>
        <item m="1" x="746"/>
        <item m="1" x="561"/>
        <item m="1" x="487"/>
        <item m="1" x="678"/>
        <item m="1" x="557"/>
        <item m="1" x="469"/>
        <item m="1" x="663"/>
        <item m="1" x="606"/>
        <item m="1" x="568"/>
        <item m="1" x="752"/>
        <item m="1" x="620"/>
        <item m="1" x="494"/>
        <item m="1" x="626"/>
        <item m="1" x="755"/>
        <item m="1" x="697"/>
        <item m="1" x="770"/>
        <item m="1" x="642"/>
        <item m="1" x="513"/>
        <item m="1" x="711"/>
        <item m="1" x="464"/>
        <item m="1" x="659"/>
        <item m="1" x="526"/>
        <item m="1" x="554"/>
        <item m="1" x="543"/>
        <item m="1" x="684"/>
        <item m="1" x="674"/>
        <item m="1" x="537"/>
        <item m="1" x="723"/>
        <item m="1" x="577"/>
        <item m="1" x="730"/>
        <item m="1" x="648"/>
        <item m="1" x="518"/>
        <item m="1" x="702"/>
        <item m="1" x="558"/>
        <item m="1" x="664"/>
        <item m="1" x="470"/>
        <item m="1" x="549"/>
        <item m="1" x="775"/>
        <item m="1" x="528"/>
        <item m="1" x="500"/>
        <item m="1" x="569"/>
        <item m="1" x="597"/>
        <item m="1" x="714"/>
        <item m="1" x="488"/>
        <item m="1" x="726"/>
        <item m="1" x="679"/>
        <item m="1" x="539"/>
        <item m="1" x="583"/>
        <item m="1" x="766"/>
        <item m="1" x="506"/>
        <item m="1" x="692"/>
        <item m="1" x="552"/>
        <item m="1" x="73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9"/>
        <item m="1" x="426"/>
        <item m="1" x="427"/>
        <item m="1" x="428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65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23"/>
        <item m="1" x="324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5"/>
        <item m="1" x="271"/>
        <item m="1" x="272"/>
        <item m="1" x="273"/>
        <item m="1" x="274"/>
        <item m="1" x="276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9"/>
        <item m="1" x="128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2"/>
        <item m="1" x="4"/>
        <item h="1" x="0"/>
        <item m="1" x="5"/>
        <item x="1"/>
        <item m="1" x="6"/>
        <item h="1" x="3"/>
        <item t="default"/>
      </items>
    </pivotField>
    <pivotField dataField="1" numFmtId="166" showAll="0"/>
    <pivotField showAll="0"/>
    <pivotField showAll="0"/>
    <pivotField showAll="0"/>
    <pivotField showAll="0" defaultSubtotal="0">
      <items count="7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</items>
    </pivotField>
  </pivotFields>
  <rowFields count="1">
    <field x="19"/>
  </rowFields>
  <rowItems count="3">
    <i>
      <x/>
    </i>
    <i>
      <x v="4"/>
    </i>
    <i t="grand">
      <x/>
    </i>
  </rowItems>
  <colItems count="1">
    <i/>
  </colItems>
  <dataFields count="1">
    <dataField name="Sum of Revenue ($)" fld="20" baseField="0" baseItem="0" numFmtId="166"/>
  </dataFields>
  <formats count="1">
    <format dxfId="37">
      <pivotArea outline="0" collapsedLevelsAreSubtotals="1" fieldPosition="0"/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6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6" format="7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08A566-9D44-49E6-9CA3-C1C7C4C3B718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77">
  <location ref="A3:B5" firstHeaderRow="1" firstDataRow="1" firstDataCol="1"/>
  <pivotFields count="25">
    <pivotField dataField="1" showAll="0"/>
    <pivotField showAll="0"/>
    <pivotField numFmtId="165" showAll="0">
      <items count="777">
        <item m="1" x="727"/>
        <item m="1" x="693"/>
        <item m="1" x="508"/>
        <item m="1" x="638"/>
        <item m="1" x="728"/>
        <item m="1" x="540"/>
        <item m="1" x="680"/>
        <item m="1" x="489"/>
        <item m="1" x="621"/>
        <item m="1" x="715"/>
        <item m="1" x="529"/>
        <item m="1" x="665"/>
        <item m="1" x="471"/>
        <item m="1" x="607"/>
        <item m="1" x="703"/>
        <item m="1" x="519"/>
        <item m="1" x="649"/>
        <item m="1" x="453"/>
        <item m="1" x="592"/>
        <item m="1" x="501"/>
        <item m="1" x="632"/>
        <item m="1" x="760"/>
        <item m="1" x="675"/>
        <item m="1" x="482"/>
        <item m="1" x="616"/>
        <item m="1" x="749"/>
        <item m="1" x="565"/>
        <item m="1" x="660"/>
        <item m="1" x="465"/>
        <item m="1" x="602"/>
        <item m="1" x="740"/>
        <item m="1" x="555"/>
        <item m="1" x="643"/>
        <item m="1" x="771"/>
        <item m="1" x="586"/>
        <item m="1" x="731"/>
        <item m="1" x="544"/>
        <item m="1" x="627"/>
        <item m="1" x="756"/>
        <item m="1" x="572"/>
        <item m="1" x="718"/>
        <item m="1" x="533"/>
        <item m="1" x="661"/>
        <item m="1" x="466"/>
        <item m="1" x="603"/>
        <item m="1" x="741"/>
        <item m="1" x="514"/>
        <item m="1" x="644"/>
        <item m="1" x="772"/>
        <item m="1" x="587"/>
        <item m="1" x="732"/>
        <item m="1" x="495"/>
        <item m="1" x="628"/>
        <item m="1" x="757"/>
        <item m="1" x="573"/>
        <item m="1" x="719"/>
        <item m="1" x="477"/>
        <item m="1" x="612"/>
        <item m="1" x="747"/>
        <item m="1" x="562"/>
        <item m="1" x="708"/>
        <item m="1" x="459"/>
        <item m="1" x="598"/>
        <item m="1" x="553"/>
        <item m="1" x="483"/>
        <item m="1" x="578"/>
        <item m="1" x="502"/>
        <item m="1" x="454"/>
        <item m="1" x="520"/>
        <item m="1" x="593"/>
        <item m="1" x="472"/>
        <item m="1" x="750"/>
        <item m="1" x="676"/>
        <item m="1" x="617"/>
        <item m="1" x="530"/>
        <item m="1" x="666"/>
        <item m="1" x="761"/>
        <item m="1" x="633"/>
        <item m="1" x="704"/>
        <item m="1" x="650"/>
        <item m="1" x="608"/>
        <item m="1" x="716"/>
        <item m="1" x="623"/>
        <item m="1" x="566"/>
        <item x="19"/>
        <item m="1" x="720"/>
        <item m="1" x="629"/>
        <item m="1" x="545"/>
        <item m="1" x="496"/>
        <item m="1" x="534"/>
        <item m="1" x="671"/>
        <item m="1" x="478"/>
        <item m="1" x="685"/>
        <item m="1" x="613"/>
        <item m="1" x="524"/>
        <item m="1" x="709"/>
        <item m="1" x="460"/>
        <item m="1" x="694"/>
        <item m="1" x="599"/>
        <item m="1" x="639"/>
        <item m="1" x="767"/>
        <item m="1" x="509"/>
        <item m="1" x="584"/>
        <item m="1" x="655"/>
        <item m="1" x="490"/>
        <item m="1" x="567"/>
        <item m="1" x="604"/>
        <item m="1" x="634"/>
        <item m="1" x="698"/>
        <item m="1" x="556"/>
        <item m="1" x="742"/>
        <item m="1" x="773"/>
        <item m="1" x="618"/>
        <item m="1" x="733"/>
        <item m="1" x="588"/>
        <item m="1" x="579"/>
        <item m="1" x="712"/>
        <item m="1" x="467"/>
        <item m="1" x="751"/>
        <item m="1" x="484"/>
        <item m="1" x="762"/>
        <item m="1" x="686"/>
        <item m="1" x="758"/>
        <item m="1" x="574"/>
        <item m="1" x="546"/>
        <item m="1" x="724"/>
        <item m="1" x="695"/>
        <item m="1" x="473"/>
        <item m="1" x="667"/>
        <item m="1" x="570"/>
        <item m="1" x="753"/>
        <item m="1" x="455"/>
        <item m="1" x="594"/>
        <item m="1" x="559"/>
        <item m="1" x="651"/>
        <item m="1" x="609"/>
        <item m="1" x="743"/>
        <item m="1" x="550"/>
        <item m="1" x="736"/>
        <item m="1" x="705"/>
        <item m="1" x="491"/>
        <item m="1" x="624"/>
        <item m="1" x="600"/>
        <item m="1" x="681"/>
        <item m="1" x="585"/>
        <item m="1" x="768"/>
        <item m="1" x="640"/>
        <item m="1" x="510"/>
        <item m="1" x="461"/>
        <item m="1" x="656"/>
        <item m="1" x="563"/>
        <item m="1" x="605"/>
        <item m="1" x="575"/>
        <item m="1" x="748"/>
        <item m="1" x="614"/>
        <item m="1" x="479"/>
        <item m="1" x="497"/>
        <item m="1" x="645"/>
        <item m="1" x="774"/>
        <item m="1" x="687"/>
        <item m="1" x="759"/>
        <item m="1" x="630"/>
        <item m="1" x="589"/>
        <item m="1" x="527"/>
        <item m="1" x="662"/>
        <item m="1" x="515"/>
        <item m="1" x="699"/>
        <item m="1" x="468"/>
        <item m="1" x="713"/>
        <item m="1" x="538"/>
        <item m="1" x="763"/>
        <item m="1" x="635"/>
        <item m="1" x="677"/>
        <item m="1" x="485"/>
        <item m="1" x="531"/>
        <item m="1" x="652"/>
        <item m="1" x="503"/>
        <item m="1" x="690"/>
        <item m="1" x="706"/>
        <item m="1" x="521"/>
        <item m="1" x="474"/>
        <item m="1" x="668"/>
        <item m="1" x="551"/>
        <item m="1" x="456"/>
        <item m="1" x="560"/>
        <item m="1" x="717"/>
        <item m="1" x="744"/>
        <item m="1" x="571"/>
        <item m="1" x="542"/>
        <item m="1" x="729"/>
        <item m="1" x="492"/>
        <item m="1" x="682"/>
        <item m="1" x="322"/>
        <item m="1" x="325"/>
        <item m="1" x="580"/>
        <item m="1" x="734"/>
        <item m="1" x="688"/>
        <item m="1" x="498"/>
        <item m="1" x="590"/>
        <item m="1" x="547"/>
        <item m="1" x="700"/>
        <item m="1" x="516"/>
        <item m="1" x="646"/>
        <item m="1" x="535"/>
        <item m="1" x="721"/>
        <item m="1" x="672"/>
        <item m="1" x="564"/>
        <item m="1" x="576"/>
        <item m="1" x="462"/>
        <item m="1" x="641"/>
        <item m="1" x="511"/>
        <item m="1" x="525"/>
        <item m="1" x="710"/>
        <item m="1" x="657"/>
        <item m="1" x="769"/>
        <item m="1" x="480"/>
        <item m="1" x="507"/>
        <item m="1" x="522"/>
        <item m="1" x="725"/>
        <item m="1" x="581"/>
        <item m="1" x="745"/>
        <item m="1" x="610"/>
        <item m="1" x="475"/>
        <item m="1" x="669"/>
        <item m="1" x="754"/>
        <item m="1" x="532"/>
        <item m="1" x="653"/>
        <item m="1" x="619"/>
        <item m="1" x="486"/>
        <item m="1" x="457"/>
        <item m="1" x="764"/>
        <item m="1" x="636"/>
        <item m="1" x="504"/>
        <item m="1" x="737"/>
        <item m="1" x="595"/>
        <item m="1" x="625"/>
        <item m="1" x="493"/>
        <item m="1" x="683"/>
        <item m="1" x="536"/>
        <item m="1" x="622"/>
        <item m="1" x="722"/>
        <item m="1" x="631"/>
        <item m="1" x="548"/>
        <item m="1" x="735"/>
        <item m="1" x="689"/>
        <item m="1" x="499"/>
        <item m="1" x="658"/>
        <item m="1" x="481"/>
        <item m="1" x="615"/>
        <item m="1" x="673"/>
        <item m="1" x="463"/>
        <item m="1" x="601"/>
        <item m="1" x="647"/>
        <item m="1" x="541"/>
        <item m="1" x="591"/>
        <item m="1" x="701"/>
        <item m="1" x="517"/>
        <item m="1" x="696"/>
        <item m="1" x="512"/>
        <item m="1" x="611"/>
        <item m="1" x="476"/>
        <item m="1" x="670"/>
        <item m="1" x="505"/>
        <item m="1" x="637"/>
        <item m="1" x="596"/>
        <item m="1" x="691"/>
        <item m="1" x="458"/>
        <item m="1" x="738"/>
        <item m="1" x="523"/>
        <item m="1" x="654"/>
        <item m="1" x="707"/>
        <item m="1" x="582"/>
        <item m="1" x="765"/>
        <item m="1" x="746"/>
        <item m="1" x="561"/>
        <item m="1" x="487"/>
        <item m="1" x="678"/>
        <item m="1" x="557"/>
        <item m="1" x="469"/>
        <item m="1" x="663"/>
        <item m="1" x="606"/>
        <item m="1" x="568"/>
        <item m="1" x="752"/>
        <item m="1" x="620"/>
        <item m="1" x="494"/>
        <item m="1" x="626"/>
        <item m="1" x="755"/>
        <item m="1" x="697"/>
        <item m="1" x="770"/>
        <item m="1" x="642"/>
        <item m="1" x="513"/>
        <item m="1" x="711"/>
        <item m="1" x="464"/>
        <item m="1" x="659"/>
        <item m="1" x="526"/>
        <item m="1" x="554"/>
        <item m="1" x="543"/>
        <item m="1" x="684"/>
        <item m="1" x="674"/>
        <item m="1" x="537"/>
        <item m="1" x="723"/>
        <item m="1" x="577"/>
        <item m="1" x="730"/>
        <item m="1" x="648"/>
        <item m="1" x="518"/>
        <item m="1" x="702"/>
        <item m="1" x="558"/>
        <item m="1" x="664"/>
        <item m="1" x="470"/>
        <item m="1" x="549"/>
        <item m="1" x="775"/>
        <item m="1" x="528"/>
        <item m="1" x="500"/>
        <item m="1" x="569"/>
        <item m="1" x="597"/>
        <item m="1" x="714"/>
        <item m="1" x="488"/>
        <item m="1" x="726"/>
        <item m="1" x="679"/>
        <item m="1" x="539"/>
        <item m="1" x="583"/>
        <item m="1" x="766"/>
        <item m="1" x="506"/>
        <item m="1" x="692"/>
        <item m="1" x="552"/>
        <item m="1" x="73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9"/>
        <item m="1" x="426"/>
        <item m="1" x="427"/>
        <item m="1" x="428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65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23"/>
        <item m="1" x="324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5"/>
        <item m="1" x="271"/>
        <item m="1" x="272"/>
        <item m="1" x="273"/>
        <item m="1" x="274"/>
        <item m="1" x="276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9"/>
        <item m="1" x="128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axis="axisRow" showAll="0">
      <items count="5">
        <item x="0"/>
        <item m="1" x="3"/>
        <item h="1" x="2"/>
        <item h="1" x="1"/>
        <item t="default"/>
      </items>
    </pivotField>
    <pivotField showAll="0"/>
    <pivotField showAll="0"/>
    <pivotField showAll="0" defaultSubtotal="0">
      <items count="7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</items>
    </pivotField>
  </pivotFields>
  <rowFields count="1">
    <field x="21"/>
  </rowFields>
  <rowItems count="2">
    <i>
      <x/>
    </i>
    <i t="grand">
      <x/>
    </i>
  </rowItems>
  <colItems count="1">
    <i/>
  </colItems>
  <dataFields count="1">
    <dataField name="Count of No." fld="0" subtotal="count" showDataAs="percentOfCol" baseField="0" baseItem="0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728B7-FC19-4242-9E10-A36DA180D3CD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95">
  <location ref="A3:B25" firstHeaderRow="1" firstDataRow="1" firstDataCol="1"/>
  <pivotFields count="25">
    <pivotField dataField="1" showAll="0"/>
    <pivotField showAll="0"/>
    <pivotField axis="axisRow" numFmtId="165" showAll="0" sortType="ascending">
      <items count="777">
        <item h="1" m="1" x="291"/>
        <item h="1" m="1" x="727"/>
        <item h="1" m="1" x="693"/>
        <item h="1" m="1" x="508"/>
        <item h="1" m="1" x="638"/>
        <item h="1" m="1" x="728"/>
        <item h="1" m="1" x="540"/>
        <item h="1" m="1" x="680"/>
        <item h="1" m="1" x="489"/>
        <item h="1" m="1" x="621"/>
        <item h="1" m="1" x="715"/>
        <item h="1" m="1" x="529"/>
        <item h="1" m="1" x="665"/>
        <item h="1" m="1" x="471"/>
        <item h="1" m="1" x="607"/>
        <item h="1" m="1" x="703"/>
        <item h="1" m="1" x="519"/>
        <item h="1" m="1" x="649"/>
        <item h="1" m="1" x="453"/>
        <item h="1" m="1" x="592"/>
        <item h="1" m="1" x="501"/>
        <item h="1" m="1" x="632"/>
        <item h="1" m="1" x="760"/>
        <item h="1" m="1" x="675"/>
        <item h="1" m="1" x="482"/>
        <item h="1" m="1" x="616"/>
        <item h="1" m="1" x="749"/>
        <item h="1" m="1" x="565"/>
        <item h="1" m="1" x="660"/>
        <item h="1" m="1" x="465"/>
        <item h="1" m="1" x="602"/>
        <item h="1" m="1" x="740"/>
        <item h="1" m="1" x="555"/>
        <item h="1" m="1" x="643"/>
        <item h="1" m="1" x="771"/>
        <item h="1" m="1" x="586"/>
        <item h="1" m="1" x="731"/>
        <item h="1" m="1" x="544"/>
        <item h="1" m="1" x="627"/>
        <item h="1" m="1" x="756"/>
        <item h="1" m="1" x="572"/>
        <item h="1" m="1" x="718"/>
        <item h="1" m="1" x="533"/>
        <item h="1" m="1" x="541"/>
        <item h="1" m="1" x="622"/>
        <item h="1" m="1" x="661"/>
        <item h="1" m="1" x="466"/>
        <item h="1" m="1" x="603"/>
        <item h="1" m="1" x="741"/>
        <item h="1" m="1" x="514"/>
        <item h="1" m="1" x="644"/>
        <item h="1" m="1" x="772"/>
        <item h="1" m="1" x="587"/>
        <item h="1" m="1" x="732"/>
        <item h="1" m="1" x="495"/>
        <item h="1" m="1" x="628"/>
        <item h="1" m="1" x="757"/>
        <item h="1" m="1" x="573"/>
        <item h="1" m="1" x="719"/>
        <item h="1" m="1" x="477"/>
        <item h="1" m="1" x="612"/>
        <item h="1" m="1" x="747"/>
        <item h="1" m="1" x="562"/>
        <item h="1" m="1" x="708"/>
        <item h="1" m="1" x="459"/>
        <item h="1" m="1" x="598"/>
        <item h="1" m="1" x="553"/>
        <item h="1" m="1" x="623"/>
        <item h="1" m="1" x="716"/>
        <item h="1" m="1" x="530"/>
        <item h="1" m="1" x="666"/>
        <item h="1" m="1" x="472"/>
        <item h="1" m="1" x="608"/>
        <item h="1" m="1" x="704"/>
        <item h="1" m="1" x="520"/>
        <item h="1" m="1" x="650"/>
        <item h="1" m="1" x="454"/>
        <item h="1" m="1" x="593"/>
        <item h="1" m="1" x="502"/>
        <item h="1" m="1" x="633"/>
        <item h="1" m="1" x="761"/>
        <item h="1" m="1" x="578"/>
        <item h="1" m="1" x="676"/>
        <item h="1" m="1" x="483"/>
        <item h="1" m="1" x="617"/>
        <item h="1" m="1" x="750"/>
        <item h="1" m="1" x="566"/>
        <item h="1" m="1" x="545"/>
        <item h="1" m="1" x="685"/>
        <item h="1" m="1" x="496"/>
        <item h="1" m="1" x="629"/>
        <item h="1" m="1" x="720"/>
        <item h="1" m="1" x="534"/>
        <item h="1" m="1" x="671"/>
        <item h="1" m="1" x="478"/>
        <item h="1" m="1" x="613"/>
        <item h="1" m="1" x="709"/>
        <item h="1" m="1" x="524"/>
        <item h="1" m="1" x="655"/>
        <item h="1" m="1" x="460"/>
        <item h="1" m="1" x="599"/>
        <item h="1" m="1" x="694"/>
        <item h="1" m="1" x="509"/>
        <item h="1" m="1" x="639"/>
        <item h="1" m="1" x="767"/>
        <item h="1" m="1" x="584"/>
        <item h="1" m="1" x="490"/>
        <item h="1" m="1" x="634"/>
        <item h="1" m="1" x="762"/>
        <item h="1" m="1" x="579"/>
        <item h="1" m="1" x="724"/>
        <item h="1" m="1" x="484"/>
        <item h="1" m="1" x="618"/>
        <item h="1" m="1" x="751"/>
        <item h="1" m="1" x="567"/>
        <item h="1" m="1" x="712"/>
        <item h="1" m="1" x="467"/>
        <item h="1" m="1" x="604"/>
        <item h="1" m="1" x="742"/>
        <item h="1" m="1" x="556"/>
        <item h="1" m="1" x="698"/>
        <item h="1" m="1" x="773"/>
        <item h="1" m="1" x="588"/>
        <item h="1" m="1" x="733"/>
        <item h="1" m="1" x="546"/>
        <item h="1" m="1" x="686"/>
        <item h="1" m="1" x="758"/>
        <item h="1" m="1" x="574"/>
        <item h="1" m="1" x="461"/>
        <item h="1" m="1" x="600"/>
        <item h="1" m="1" x="695"/>
        <item h="1" m="1" x="510"/>
        <item h="1" m="1" x="640"/>
        <item h="1" m="1" x="768"/>
        <item h="1" m="1" x="585"/>
        <item h="1" m="1" x="681"/>
        <item h="1" m="1" x="491"/>
        <item h="1" m="1" x="624"/>
        <item h="1" m="1" x="753"/>
        <item h="1" m="1" x="570"/>
        <item h="1" m="1" x="667"/>
        <item h="1" m="1" x="473"/>
        <item h="1" m="1" x="609"/>
        <item h="1" m="1" x="743"/>
        <item h="1" m="1" x="559"/>
        <item h="1" m="1" x="705"/>
        <item h="1" m="1" x="651"/>
        <item h="1" m="1" x="455"/>
        <item h="1" m="1" x="594"/>
        <item h="1" m="1" x="736"/>
        <item h="1" m="1" x="550"/>
        <item h="1" m="1" x="713"/>
        <item h="1" m="1" x="527"/>
        <item h="1" m="1" x="662"/>
        <item h="1" m="1" x="468"/>
        <item h="1" m="1" x="605"/>
        <item h="1" m="1" x="699"/>
        <item h="1" m="1" x="515"/>
        <item h="1" m="1" x="645"/>
        <item h="1" m="1" x="774"/>
        <item h="1" m="1" x="589"/>
        <item h="1" m="1" x="687"/>
        <item h="1" m="1" x="497"/>
        <item h="1" m="1" x="630"/>
        <item h="1" m="1" x="759"/>
        <item h="1" m="1" x="575"/>
        <item h="1" m="1" x="479"/>
        <item h="1" m="1" x="614"/>
        <item h="1" m="1" x="748"/>
        <item h="1" m="1" x="563"/>
        <item h="1" m="1" x="656"/>
        <item h="1" m="1" x="729"/>
        <item h="1" m="1" x="542"/>
        <item h="1" m="1" x="682"/>
        <item h="1" m="1" x="492"/>
        <item h="1" m="1" x="571"/>
        <item h="1" m="1" x="717"/>
        <item h="1" m="1" x="531"/>
        <item h="1" m="1" x="668"/>
        <item h="1" m="1" x="474"/>
        <item h="1" m="1" x="744"/>
        <item h="1" m="1" x="560"/>
        <item h="1" m="1" x="706"/>
        <item h="1" m="1" x="521"/>
        <item h="1" m="1" x="652"/>
        <item h="1" m="1" x="456"/>
        <item h="1" m="1" x="551"/>
        <item h="1" m="1" x="690"/>
        <item h="1" m="1" x="503"/>
        <item h="1" m="1" x="635"/>
        <item h="1" m="1" x="763"/>
        <item h="1" m="1" x="580"/>
        <item h="1" m="1" x="538"/>
        <item h="1" m="1" x="677"/>
        <item h="1" m="1" x="485"/>
        <item h="1" m="1" x="700"/>
        <item h="1" m="1" x="516"/>
        <item h="1" m="1" x="646"/>
        <item h="1" m="1" x="590"/>
        <item h="1" m="1" x="734"/>
        <item h="1" m="1" x="547"/>
        <item h="1" m="1" x="688"/>
        <item h="1" m="1" x="498"/>
        <item h="1" m="1" x="576"/>
        <item h="1" m="1" x="721"/>
        <item h="1" m="1" x="535"/>
        <item h="1" m="1" x="672"/>
        <item h="1" m="1" x="480"/>
        <item h="1" m="1" x="564"/>
        <item h="1" m="1" x="710"/>
        <item h="1" m="1" x="525"/>
        <item h="1" m="1" x="657"/>
        <item h="1" m="1" x="462"/>
        <item h="1" m="1" x="511"/>
        <item h="1" m="1" x="641"/>
        <item h="1" m="1" x="769"/>
        <item h="1" m="1" x="683"/>
        <item h="1" m="1" x="493"/>
        <item h="1" m="1" x="625"/>
        <item h="1" m="1" x="754"/>
        <item h="1" m="1" x="532"/>
        <item h="1" m="1" x="669"/>
        <item h="1" m="1" x="475"/>
        <item h="1" m="1" x="610"/>
        <item h="1" m="1" x="745"/>
        <item h="1" m="1" x="522"/>
        <item h="1" m="1" x="653"/>
        <item h="1" m="1" x="457"/>
        <item h="1" m="1" x="595"/>
        <item h="1" m="1" x="737"/>
        <item h="1" m="1" x="504"/>
        <item h="1" m="1" x="636"/>
        <item h="1" m="1" x="764"/>
        <item h="1" m="1" x="581"/>
        <item h="1" m="1" x="725"/>
        <item h="1" m="1" x="486"/>
        <item h="1" m="1" x="619"/>
        <item h="1" m="1" x="701"/>
        <item h="1" m="1" x="517"/>
        <item h="1" m="1" x="647"/>
        <item h="1" m="1" x="591"/>
        <item h="1" m="1" x="735"/>
        <item h="1" m="1" x="548"/>
        <item h="1" m="1" x="689"/>
        <item h="1" m="1" x="499"/>
        <item h="1" m="1" x="631"/>
        <item h="1" m="1" x="722"/>
        <item h="1" m="1" x="536"/>
        <item h="1" m="1" x="673"/>
        <item h="1" m="1" x="481"/>
        <item h="1" m="1" x="615"/>
        <item h="1" m="1" x="658"/>
        <item h="1" m="1" x="463"/>
        <item h="1" m="1" x="601"/>
        <item h="1" m="1" x="696"/>
        <item h="1" m="1" x="512"/>
        <item h="1" m="1" x="670"/>
        <item h="1" m="1" x="476"/>
        <item h="1" m="1" x="611"/>
        <item h="1" m="1" x="746"/>
        <item h="1" m="1" x="561"/>
        <item h="1" m="1" x="707"/>
        <item h="1" m="1" x="523"/>
        <item h="1" m="1" x="654"/>
        <item h="1" m="1" x="458"/>
        <item h="1" m="1" x="596"/>
        <item h="1" m="1" x="738"/>
        <item h="1" m="1" x="691"/>
        <item h="1" m="1" x="505"/>
        <item h="1" m="1" x="637"/>
        <item h="1" m="1" x="765"/>
        <item h="1" m="1" x="582"/>
        <item h="1" m="1" x="678"/>
        <item h="1" m="1" x="487"/>
        <item h="1" m="1" x="620"/>
        <item h="1" m="1" x="752"/>
        <item h="1" m="1" x="568"/>
        <item h="1" m="1" x="663"/>
        <item h="1" m="1" x="469"/>
        <item h="1" m="1" x="606"/>
        <item h="1" m="1" x="557"/>
        <item h="1" m="1" x="577"/>
        <item h="1" m="1" x="723"/>
        <item h="1" m="1" x="537"/>
        <item h="1" m="1" x="674"/>
        <item h="1" m="1" x="711"/>
        <item h="1" m="1" x="526"/>
        <item h="1" m="1" x="659"/>
        <item h="1" m="1" x="464"/>
        <item h="1" m="1" x="554"/>
        <item h="1" m="1" x="697"/>
        <item h="1" m="1" x="513"/>
        <item h="1" m="1" x="642"/>
        <item h="1" m="1" x="770"/>
        <item h="1" m="1" x="730"/>
        <item h="1" m="1" x="543"/>
        <item h="1" m="1" x="684"/>
        <item h="1" m="1" x="494"/>
        <item h="1" m="1" x="626"/>
        <item h="1" m="1" x="755"/>
        <item h="1" m="1" x="597"/>
        <item h="1" m="1" x="739"/>
        <item h="1" m="1" x="552"/>
        <item h="1" m="1" x="692"/>
        <item h="1" m="1" x="506"/>
        <item h="1" m="1" x="766"/>
        <item h="1" m="1" x="583"/>
        <item h="1" m="1" x="726"/>
        <item h="1" m="1" x="539"/>
        <item h="1" m="1" x="679"/>
        <item h="1" m="1" x="488"/>
        <item h="1" m="1" x="569"/>
        <item h="1" m="1" x="714"/>
        <item h="1" m="1" x="528"/>
        <item h="1" m="1" x="664"/>
        <item h="1" m="1" x="470"/>
        <item h="1" m="1" x="558"/>
        <item h="1" m="1" x="702"/>
        <item h="1" m="1" x="518"/>
        <item h="1" m="1" x="648"/>
        <item h="1" m="1" x="775"/>
        <item h="1" m="1" x="549"/>
        <item h="1" m="1" x="500"/>
        <item h="1" m="1" x="449"/>
        <item h="1" m="1" x="451"/>
        <item h="1" m="1" x="450"/>
        <item h="1" m="1" x="439"/>
        <item h="1" m="1" x="441"/>
        <item h="1" m="1" x="440"/>
        <item h="1" m="1" x="437"/>
        <item h="1" m="1" x="434"/>
        <item h="1" m="1" x="435"/>
        <item h="1" m="1" x="438"/>
        <item h="1" m="1" x="433"/>
        <item h="1" m="1" x="436"/>
        <item h="1" m="1" x="430"/>
        <item h="1" m="1" x="432"/>
        <item h="1" m="1" x="431"/>
        <item h="1" m="1" x="445"/>
        <item h="1" m="1" x="442"/>
        <item h="1" m="1" x="443"/>
        <item h="1" m="1" x="444"/>
        <item h="1" m="1" x="446"/>
        <item h="1" m="1" x="448"/>
        <item h="1" m="1" x="424"/>
        <item h="1" m="1" x="425"/>
        <item h="1" m="1" x="428"/>
        <item h="1" m="1" x="427"/>
        <item h="1" m="1" x="426"/>
        <item h="1" m="1" x="423"/>
        <item h="1" m="1" x="422"/>
        <item h="1" m="1" x="416"/>
        <item h="1" m="1" x="419"/>
        <item h="1" m="1" x="421"/>
        <item h="1" m="1" x="429"/>
        <item h="1" m="1" x="418"/>
        <item h="1" m="1" x="420"/>
        <item h="1" m="1" x="408"/>
        <item h="1" m="1" x="417"/>
        <item h="1" m="1" x="415"/>
        <item h="1" m="1" x="447"/>
        <item h="1" m="1" x="414"/>
        <item h="1" m="1" x="411"/>
        <item h="1" m="1" x="412"/>
        <item h="1" m="1" x="413"/>
        <item h="1" m="1" x="409"/>
        <item h="1" m="1" x="452"/>
        <item h="1" m="1" x="410"/>
        <item h="1" m="1" x="401"/>
        <item h="1" m="1" x="399"/>
        <item h="1" m="1" x="400"/>
        <item h="1" m="1" x="403"/>
        <item h="1" m="1" x="404"/>
        <item h="1" m="1" x="405"/>
        <item h="1" m="1" x="397"/>
        <item h="1" m="1" x="406"/>
        <item h="1" m="1" x="407"/>
        <item h="1" m="1" x="388"/>
        <item h="1" m="1" x="387"/>
        <item h="1" m="1" x="386"/>
        <item h="1" m="1" x="391"/>
        <item h="1" m="1" x="390"/>
        <item h="1" m="1" x="389"/>
        <item h="1" m="1" x="392"/>
        <item h="1" m="1" x="398"/>
        <item h="1" m="1" x="396"/>
        <item h="1" m="1" x="394"/>
        <item h="1" m="1" x="395"/>
        <item h="1" m="1" x="393"/>
        <item h="1" m="1" x="402"/>
        <item h="1" m="1" x="378"/>
        <item h="1" m="1" x="383"/>
        <item h="1" m="1" x="371"/>
        <item h="1" m="1" x="384"/>
        <item h="1" m="1" x="385"/>
        <item h="1" m="1" x="376"/>
        <item h="1" m="1" x="377"/>
        <item h="1" m="1" x="379"/>
        <item h="1" m="1" x="382"/>
        <item h="1" m="1" x="381"/>
        <item h="1" m="1" x="380"/>
        <item h="1" m="1" x="372"/>
        <item h="1" m="1" x="370"/>
        <item h="1" m="1" x="373"/>
        <item h="1" m="1" x="374"/>
        <item h="1" m="1" x="375"/>
        <item h="1" m="1" x="368"/>
        <item h="1" m="1" x="369"/>
        <item h="1" m="1" x="367"/>
        <item h="1" m="1" x="366"/>
        <item h="1" m="1" x="354"/>
        <item h="1" m="1" x="349"/>
        <item h="1" m="1" x="353"/>
        <item h="1" m="1" x="352"/>
        <item h="1" m="1" x="350"/>
        <item h="1" m="1" x="365"/>
        <item h="1" m="1" x="351"/>
        <item h="1" m="1" x="347"/>
        <item h="1" m="1" x="344"/>
        <item h="1" m="1" x="345"/>
        <item h="1" m="1" x="348"/>
        <item h="1" m="1" x="346"/>
        <item h="1" m="1" x="358"/>
        <item h="1" m="1" x="359"/>
        <item h="1" m="1" x="357"/>
        <item h="1" m="1" x="356"/>
        <item h="1" m="1" x="343"/>
        <item h="1" m="1" x="355"/>
        <item h="1" m="1" x="360"/>
        <item h="1" m="1" x="362"/>
        <item h="1" m="1" x="361"/>
        <item h="1" m="1" x="363"/>
        <item h="1" m="1" x="364"/>
        <item h="1" m="1" x="322"/>
        <item h="1" m="1" x="324"/>
        <item h="1" m="1" x="323"/>
        <item h="1" m="1" x="327"/>
        <item h="1" m="1" x="325"/>
        <item h="1" m="1" x="326"/>
        <item h="1" m="1" x="328"/>
        <item h="1" m="1" x="329"/>
        <item h="1" m="1" x="330"/>
        <item h="1" m="1" x="331"/>
        <item h="1" m="1" x="333"/>
        <item h="1" m="1" x="334"/>
        <item h="1" m="1" x="335"/>
        <item h="1" m="1" x="332"/>
        <item h="1" m="1" x="336"/>
        <item h="1" m="1" x="337"/>
        <item h="1" m="1" x="339"/>
        <item h="1" m="1" x="338"/>
        <item h="1" m="1" x="340"/>
        <item h="1" m="1" x="341"/>
        <item h="1" m="1" x="342"/>
        <item h="1" m="1" x="311"/>
        <item h="1" m="1" x="309"/>
        <item h="1" m="1" x="312"/>
        <item h="1" m="1" x="307"/>
        <item h="1" m="1" x="308"/>
        <item h="1" m="1" x="310"/>
        <item h="1" m="1" x="507"/>
        <item h="1" m="1" x="304"/>
        <item h="1" m="1" x="306"/>
        <item h="1" m="1" x="303"/>
        <item h="1" m="1" x="305"/>
        <item h="1" m="1" x="321"/>
        <item h="1" m="1" x="313"/>
        <item h="1" m="1" x="314"/>
        <item h="1" m="1" x="315"/>
        <item h="1" m="1" x="316"/>
        <item h="1" m="1" x="317"/>
        <item h="1" m="1" x="320"/>
        <item h="1" m="1" x="319"/>
        <item h="1" m="1" x="318"/>
        <item h="1" m="1" x="294"/>
        <item h="1" m="1" x="297"/>
        <item h="1" m="1" x="296"/>
        <item h="1" m="1" x="293"/>
        <item h="1" m="1" x="302"/>
        <item h="1" m="1" x="295"/>
        <item h="1" m="1" x="283"/>
        <item h="1" m="1" x="288"/>
        <item h="1" m="1" x="287"/>
        <item h="1" m="1" x="281"/>
        <item h="1" m="1" x="290"/>
        <item h="1" m="1" x="282"/>
        <item h="1" m="1" x="292"/>
        <item h="1" m="1" x="277"/>
        <item h="1" m="1" x="286"/>
        <item h="1" m="1" x="279"/>
        <item h="1" m="1" x="289"/>
        <item h="1" m="1" x="278"/>
        <item h="1" m="1" x="280"/>
        <item h="1" m="1" x="285"/>
        <item h="1" m="1" x="284"/>
        <item h="1" m="1" x="299"/>
        <item h="1" m="1" x="298"/>
        <item h="1" m="1" x="301"/>
        <item h="1" m="1" x="300"/>
        <item h="1" m="1" x="261"/>
        <item h="1" m="1" x="257"/>
        <item h="1" m="1" x="276"/>
        <item h="1" m="1" x="259"/>
        <item h="1" m="1" x="258"/>
        <item h="1" m="1" x="260"/>
        <item h="1" m="1" x="267"/>
        <item h="1" m="1" x="266"/>
        <item h="1" m="1" x="268"/>
        <item h="1" m="1" x="265"/>
        <item h="1" m="1" x="263"/>
        <item h="1" m="1" x="264"/>
        <item h="1" m="1" x="262"/>
        <item h="1" m="1" x="271"/>
        <item h="1" m="1" x="270"/>
        <item h="1" m="1" x="269"/>
        <item h="1" m="1" x="275"/>
        <item h="1" m="1" x="274"/>
        <item h="1" m="1" x="273"/>
        <item h="1" m="1" x="272"/>
        <item h="1" m="1" x="254"/>
        <item h="1" m="1" x="256"/>
        <item h="1" m="1" x="241"/>
        <item h="1" m="1" x="252"/>
        <item h="1" m="1" x="253"/>
        <item h="1" m="1" x="251"/>
        <item h="1" m="1" x="255"/>
        <item h="1" m="1" x="239"/>
        <item h="1" m="1" x="244"/>
        <item h="1" m="1" x="250"/>
        <item h="1" m="1" x="249"/>
        <item h="1" m="1" x="248"/>
        <item h="1" m="1" x="240"/>
        <item h="1" m="1" x="238"/>
        <item h="1" m="1" x="237"/>
        <item h="1" m="1" x="246"/>
        <item h="1" m="1" x="242"/>
        <item h="1" m="1" x="236"/>
        <item h="1" m="1" x="247"/>
        <item h="1" m="1" x="243"/>
        <item h="1" m="1" x="245"/>
        <item h="1" m="1" x="218"/>
        <item h="1" m="1" x="219"/>
        <item h="1" m="1" x="216"/>
        <item h="1" m="1" x="220"/>
        <item h="1" m="1" x="217"/>
        <item h="1" m="1" x="215"/>
        <item h="1" m="1" x="221"/>
        <item h="1" m="1" x="222"/>
        <item h="1" m="1" x="223"/>
        <item h="1" m="1" x="226"/>
        <item h="1" m="1" x="224"/>
        <item h="1" m="1" x="225"/>
        <item h="1" m="1" x="235"/>
        <item h="1" m="1" x="231"/>
        <item h="1" m="1" x="234"/>
        <item h="1" m="1" x="232"/>
        <item h="1" m="1" x="229"/>
        <item h="1" m="1" x="228"/>
        <item h="1" m="1" x="233"/>
        <item h="1" m="1" x="227"/>
        <item h="1" m="1" x="230"/>
        <item h="1" m="1" x="213"/>
        <item h="1" m="1" x="210"/>
        <item h="1" m="1" x="211"/>
        <item h="1" m="1" x="209"/>
        <item h="1" m="1" x="212"/>
        <item h="1" m="1" x="208"/>
        <item h="1" m="1" x="199"/>
        <item h="1" m="1" x="198"/>
        <item h="1" m="1" x="197"/>
        <item h="1" m="1" x="204"/>
        <item h="1" m="1" x="205"/>
        <item h="1" m="1" x="206"/>
        <item h="1" m="1" x="203"/>
        <item h="1" m="1" x="200"/>
        <item h="1" m="1" x="201"/>
        <item h="1" m="1" x="202"/>
        <item h="1" m="1" x="207"/>
        <item h="1" m="1" x="196"/>
        <item h="1" m="1" x="194"/>
        <item h="1" m="1" x="195"/>
        <item h="1" m="1" x="214"/>
        <item h="1" m="1" x="181"/>
        <item h="1" m="1" x="182"/>
        <item h="1" m="1" x="176"/>
        <item h="1" m="1" x="174"/>
        <item h="1" m="1" x="180"/>
        <item h="1" m="1" x="177"/>
        <item h="1" m="1" x="187"/>
        <item h="1" m="1" x="175"/>
        <item h="1" m="1" x="178"/>
        <item h="1" m="1" x="179"/>
        <item h="1" m="1" x="192"/>
        <item h="1" m="1" x="186"/>
        <item h="1" m="1" x="185"/>
        <item h="1" m="1" x="183"/>
        <item h="1" m="1" x="184"/>
        <item h="1" m="1" x="189"/>
        <item h="1" m="1" x="188"/>
        <item h="1" m="1" x="191"/>
        <item h="1" m="1" x="190"/>
        <item h="1" m="1" x="193"/>
        <item h="1" m="1" x="159"/>
        <item h="1" m="1" x="152"/>
        <item h="1" m="1" x="151"/>
        <item h="1" m="1" x="153"/>
        <item h="1" m="1" x="157"/>
        <item h="1" m="1" x="158"/>
        <item h="1" m="1" x="155"/>
        <item h="1" m="1" x="154"/>
        <item h="1" m="1" x="156"/>
        <item h="1" m="1" x="161"/>
        <item h="1" m="1" x="160"/>
        <item h="1" m="1" x="167"/>
        <item h="1" m="1" x="166"/>
        <item h="1" m="1" x="162"/>
        <item h="1" m="1" x="168"/>
        <item h="1" m="1" x="165"/>
        <item h="1" m="1" x="169"/>
        <item h="1" m="1" x="171"/>
        <item h="1" m="1" x="172"/>
        <item h="1" m="1" x="163"/>
        <item h="1" m="1" x="164"/>
        <item h="1" m="1" x="170"/>
        <item h="1" m="1" x="173"/>
        <item h="1" m="1" x="130"/>
        <item h="1" m="1" x="132"/>
        <item h="1" m="1" x="131"/>
        <item h="1" m="1" x="133"/>
        <item h="1" m="1" x="134"/>
        <item h="1" m="1" x="137"/>
        <item h="1" m="1" x="136"/>
        <item h="1" m="1" x="135"/>
        <item h="1" m="1" x="141"/>
        <item h="1" m="1" x="139"/>
        <item h="1" m="1" x="140"/>
        <item h="1" m="1" x="138"/>
        <item h="1" m="1" x="144"/>
        <item h="1" m="1" x="142"/>
        <item h="1" m="1" x="143"/>
        <item h="1" m="1" x="145"/>
        <item h="1" m="1" x="147"/>
        <item h="1" m="1" x="146"/>
        <item h="1" m="1" x="149"/>
        <item h="1" m="1" x="150"/>
        <item h="1" m="1" x="148"/>
        <item h="1" m="1" x="109"/>
        <item h="1" m="1" x="110"/>
        <item h="1" m="1" x="108"/>
        <item h="1" m="1" x="111"/>
        <item h="1" m="1" x="128"/>
        <item h="1" m="1" x="123"/>
        <item h="1" m="1" x="126"/>
        <item h="1" m="1" x="117"/>
        <item h="1" m="1" x="113"/>
        <item h="1" m="1" x="118"/>
        <item h="1" m="1" x="127"/>
        <item h="1" m="1" x="129"/>
        <item h="1" m="1" x="114"/>
        <item h="1" m="1" x="112"/>
        <item h="1" m="1" x="115"/>
        <item h="1" m="1" x="116"/>
        <item h="1" m="1" x="119"/>
        <item h="1" m="1" x="122"/>
        <item h="1" m="1" x="120"/>
        <item h="1" m="1" x="125"/>
        <item h="1" m="1" x="121"/>
        <item h="1" m="1" x="124"/>
        <item h="1" m="1" x="93"/>
        <item h="1" m="1" x="84"/>
        <item h="1" m="1" x="92"/>
        <item h="1" m="1" x="87"/>
        <item h="1" m="1" x="88"/>
        <item h="1" m="1" x="85"/>
        <item h="1" m="1" x="106"/>
        <item h="1" m="1" x="86"/>
        <item h="1" m="1" x="90"/>
        <item h="1" m="1" x="104"/>
        <item h="1" m="1" x="105"/>
        <item h="1" m="1" x="89"/>
        <item h="1" m="1" x="91"/>
        <item h="1" m="1" x="95"/>
        <item h="1" m="1" x="94"/>
        <item h="1" m="1" x="96"/>
        <item h="1" m="1" x="97"/>
        <item h="1" m="1" x="99"/>
        <item h="1" m="1" x="98"/>
        <item h="1" m="1" x="101"/>
        <item h="1" m="1" x="100"/>
        <item h="1" m="1" x="102"/>
        <item h="1" m="1" x="103"/>
        <item h="1" m="1" x="107"/>
        <item h="1" m="1" x="68"/>
        <item h="1" m="1" x="66"/>
        <item h="1" m="1" x="67"/>
        <item h="1" m="1" x="63"/>
        <item h="1" m="1" x="65"/>
        <item h="1" m="1" x="64"/>
        <item h="1" m="1" x="69"/>
        <item h="1" m="1" x="71"/>
        <item h="1" m="1" x="70"/>
        <item h="1" m="1" x="72"/>
        <item h="1" m="1" x="73"/>
        <item h="1" m="1" x="74"/>
        <item h="1" m="1" x="75"/>
        <item h="1" m="1" x="76"/>
        <item h="1" m="1" x="78"/>
        <item h="1" m="1" x="77"/>
        <item h="1" m="1" x="79"/>
        <item h="1" m="1" x="80"/>
        <item h="1" m="1" x="83"/>
        <item h="1" m="1" x="81"/>
        <item h="1" m="1" x="82"/>
        <item h="1" m="1" x="48"/>
        <item h="1" m="1" x="49"/>
        <item h="1" m="1" x="42"/>
        <item h="1" m="1" x="50"/>
        <item h="1" m="1" x="47"/>
        <item h="1" m="1" x="52"/>
        <item h="1" m="1" x="45"/>
        <item h="1" m="1" x="51"/>
        <item h="1" m="1" x="43"/>
        <item h="1" m="1" x="44"/>
        <item h="1" m="1" x="46"/>
        <item h="1" m="1" x="53"/>
        <item h="1" m="1" x="54"/>
        <item h="1" m="1" x="57"/>
        <item h="1" m="1" x="55"/>
        <item h="1" m="1" x="56"/>
        <item h="1" m="1" x="58"/>
        <item h="1" m="1" x="59"/>
        <item h="1" m="1" x="60"/>
        <item h="1" m="1" x="61"/>
        <item h="1" m="1" x="25"/>
        <item h="1" m="1" x="24"/>
        <item h="1" m="1" x="22"/>
        <item h="1" m="1" x="20"/>
        <item h="1" m="1" x="23"/>
        <item h="1" m="1" x="21"/>
        <item h="1" m="1" x="31"/>
        <item h="1" m="1" x="27"/>
        <item h="1" m="1" x="28"/>
        <item h="1" m="1" x="26"/>
        <item h="1" m="1" x="29"/>
        <item h="1" m="1" x="30"/>
        <item h="1" m="1" x="32"/>
        <item h="1" m="1" x="35"/>
        <item h="1" m="1" x="33"/>
        <item h="1" m="1" x="34"/>
        <item h="1" m="1" x="36"/>
        <item h="1" m="1" x="39"/>
        <item h="1" m="1" x="37"/>
        <item h="1" m="1" x="38"/>
        <item h="1" m="1" x="40"/>
        <item h="1" m="1" x="41"/>
        <item x="0"/>
        <item x="11"/>
        <item x="7"/>
        <item x="10"/>
        <item x="1"/>
        <item h="1" x="4"/>
        <item h="1" x="2"/>
        <item h="1" x="12"/>
        <item h="1" x="6"/>
        <item h="1" x="5"/>
        <item h="1" x="16"/>
        <item h="1" x="3"/>
        <item h="1" x="14"/>
        <item h="1" x="13"/>
        <item h="1" x="15"/>
        <item h="1" x="8"/>
        <item h="1" x="9"/>
        <item h="1" x="17"/>
        <item h="1" x="18"/>
        <item h="1" m="1" x="62"/>
        <item h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3"/>
        <item m="1" x="7"/>
        <item x="1"/>
        <item x="0"/>
        <item m="1" x="9"/>
        <item x="5"/>
        <item x="6"/>
        <item m="1" x="8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showAll="0"/>
    <pivotField showAll="0"/>
    <pivotField showAll="0" defaultSubtotal="0">
      <items count="7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</items>
    </pivotField>
  </pivotFields>
  <rowFields count="2">
    <field x="2"/>
    <field x="10"/>
  </rowFields>
  <rowItems count="22">
    <i>
      <x v="755"/>
    </i>
    <i r="1">
      <x v="2"/>
    </i>
    <i r="1">
      <x v="3"/>
    </i>
    <i>
      <x v="756"/>
    </i>
    <i r="1">
      <x v="2"/>
    </i>
    <i r="1">
      <x v="3"/>
    </i>
    <i r="1">
      <x v="8"/>
    </i>
    <i>
      <x v="757"/>
    </i>
    <i r="1">
      <x/>
    </i>
    <i r="1">
      <x v="2"/>
    </i>
    <i r="1">
      <x v="3"/>
    </i>
    <i r="1">
      <x v="8"/>
    </i>
    <i>
      <x v="758"/>
    </i>
    <i r="1">
      <x v="2"/>
    </i>
    <i r="1">
      <x v="3"/>
    </i>
    <i r="1">
      <x v="8"/>
    </i>
    <i>
      <x v="759"/>
    </i>
    <i r="1">
      <x/>
    </i>
    <i r="1">
      <x v="2"/>
    </i>
    <i r="1">
      <x v="3"/>
    </i>
    <i r="1">
      <x v="8"/>
    </i>
    <i t="grand">
      <x/>
    </i>
  </rowItems>
  <colItems count="1">
    <i/>
  </colItems>
  <dataFields count="1">
    <dataField name="Count of No." fld="0" subtotal="count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6E942-1F65-414D-9A33-B3A2ABF1DE6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0">
  <location ref="A3:B7" firstHeaderRow="1" firstDataRow="1" firstDataCol="1"/>
  <pivotFields count="24">
    <pivotField dataField="1" showAll="0"/>
    <pivotField showAll="0"/>
    <pivotField showAll="0"/>
    <pivotField axis="axisRow" showAll="0">
      <items count="1201">
        <item x="36"/>
        <item m="1" x="731"/>
        <item m="1" x="303"/>
        <item m="1" x="45"/>
        <item m="1" x="680"/>
        <item m="1" x="1121"/>
        <item m="1" x="744"/>
        <item m="1" x="728"/>
        <item m="1" x="538"/>
        <item m="1" x="539"/>
        <item m="1" x="152"/>
        <item m="1" x="889"/>
        <item m="1" x="906"/>
        <item m="1" x="947"/>
        <item m="1" x="825"/>
        <item m="1" x="145"/>
        <item m="1" x="969"/>
        <item m="1" x="1148"/>
        <item m="1" x="851"/>
        <item m="1" x="130"/>
        <item m="1" x="894"/>
        <item x="29"/>
        <item m="1" x="844"/>
        <item m="1" x="1138"/>
        <item m="1" x="129"/>
        <item m="1" x="1131"/>
        <item m="1" x="1023"/>
        <item m="1" x="824"/>
        <item x="28"/>
        <item m="1" x="952"/>
        <item m="1" x="985"/>
        <item m="1" x="913"/>
        <item m="1" x="895"/>
        <item m="1" x="768"/>
        <item m="1" x="705"/>
        <item m="1" x="1067"/>
        <item m="1" x="807"/>
        <item m="1" x="873"/>
        <item m="1" x="42"/>
        <item m="1" x="1026"/>
        <item m="1" x="777"/>
        <item m="1" x="1128"/>
        <item m="1" x="658"/>
        <item m="1" x="1169"/>
        <item m="1" x="97"/>
        <item x="32"/>
        <item m="1" x="1163"/>
        <item m="1" x="308"/>
        <item m="1" x="856"/>
        <item m="1" x="874"/>
        <item m="1" x="986"/>
        <item m="1" x="1118"/>
        <item x="27"/>
        <item x="33"/>
        <item m="1" x="1000"/>
        <item m="1" x="1007"/>
        <item m="1" x="909"/>
        <item m="1" x="1001"/>
        <item m="1" x="586"/>
        <item m="1" x="473"/>
        <item x="15"/>
        <item m="1" x="612"/>
        <item m="1" x="784"/>
        <item m="1" x="872"/>
        <item m="1" x="966"/>
        <item m="1" x="1038"/>
        <item m="1" x="949"/>
        <item m="1" x="843"/>
        <item m="1" x="202"/>
        <item m="1" x="1013"/>
        <item m="1" x="442"/>
        <item x="23"/>
        <item m="1" x="563"/>
        <item m="1" x="809"/>
        <item m="1" x="822"/>
        <item m="1" x="1123"/>
        <item m="1" x="284"/>
        <item m="1" x="901"/>
        <item m="1" x="312"/>
        <item m="1" x="663"/>
        <item m="1" x="121"/>
        <item m="1" x="1077"/>
        <item x="0"/>
        <item m="1" x="1084"/>
        <item m="1" x="981"/>
        <item m="1" x="127"/>
        <item m="1" x="865"/>
        <item m="1" x="1129"/>
        <item m="1" x="507"/>
        <item m="1" x="182"/>
        <item m="1" x="848"/>
        <item m="1" x="1155"/>
        <item m="1" x="411"/>
        <item m="1" x="962"/>
        <item m="1" x="770"/>
        <item m="1" x="915"/>
        <item m="1" x="741"/>
        <item m="1" x="997"/>
        <item m="1" x="996"/>
        <item m="1" x="953"/>
        <item m="1" x="786"/>
        <item m="1" x="1120"/>
        <item x="6"/>
        <item x="41"/>
        <item m="1" x="1192"/>
        <item m="1" x="359"/>
        <item m="1" x="828"/>
        <item m="1" x="1184"/>
        <item m="1" x="1164"/>
        <item m="1" x="725"/>
        <item m="1" x="1181"/>
        <item m="1" x="549"/>
        <item m="1" x="311"/>
        <item m="1" x="964"/>
        <item x="22"/>
        <item m="1" x="881"/>
        <item m="1" x="1140"/>
        <item m="1" x="810"/>
        <item m="1" x="1008"/>
        <item m="1" x="950"/>
        <item m="1" x="1166"/>
        <item m="1" x="830"/>
        <item m="1" x="699"/>
        <item m="1" x="920"/>
        <item m="1" x="1034"/>
        <item m="1" x="878"/>
        <item m="1" x="1042"/>
        <item m="1" x="834"/>
        <item m="1" x="516"/>
        <item m="1" x="903"/>
        <item m="1" x="998"/>
        <item m="1" x="781"/>
        <item m="1" x="1165"/>
        <item m="1" x="1036"/>
        <item m="1" x="1199"/>
        <item m="1" x="1122"/>
        <item m="1" x="1141"/>
        <item m="1" x="738"/>
        <item m="1" x="897"/>
        <item m="1" x="1052"/>
        <item m="1" x="154"/>
        <item m="1" x="698"/>
        <item m="1" x="577"/>
        <item m="1" x="1048"/>
        <item m="1" x="177"/>
        <item m="1" x="694"/>
        <item m="1" x="707"/>
        <item m="1" x="823"/>
        <item m="1" x="847"/>
        <item m="1" x="769"/>
        <item m="1" x="861"/>
        <item m="1" x="765"/>
        <item m="1" x="171"/>
        <item m="1" x="1196"/>
        <item m="1" x="1135"/>
        <item m="1" x="995"/>
        <item m="1" x="515"/>
        <item m="1" x="1014"/>
        <item x="14"/>
        <item m="1" x="757"/>
        <item x="1"/>
        <item m="1" x="1064"/>
        <item m="1" x="795"/>
        <item m="1" x="425"/>
        <item m="1" x="54"/>
        <item m="1" x="766"/>
        <item m="1" x="572"/>
        <item m="1" x="482"/>
        <item m="1" x="483"/>
        <item m="1" x="460"/>
        <item m="1" x="477"/>
        <item m="1" x="1152"/>
        <item m="1" x="816"/>
        <item m="1" x="1109"/>
        <item m="1" x="701"/>
        <item m="1" x="868"/>
        <item m="1" x="1066"/>
        <item m="1" x="946"/>
        <item m="1" x="924"/>
        <item m="1" x="918"/>
        <item m="1" x="780"/>
        <item m="1" x="827"/>
        <item m="1" x="967"/>
        <item m="1" x="759"/>
        <item m="1" x="875"/>
        <item m="1" x="908"/>
        <item m="1" x="846"/>
        <item m="1" x="942"/>
        <item m="1" x="710"/>
        <item m="1" x="1061"/>
        <item m="1" x="720"/>
        <item m="1" x="1047"/>
        <item m="1" x="1075"/>
        <item m="1" x="835"/>
        <item m="1" x="1002"/>
        <item m="1" x="893"/>
        <item m="1" x="806"/>
        <item m="1" x="548"/>
        <item m="1" x="870"/>
        <item m="1" x="196"/>
        <item m="1" x="1051"/>
        <item m="1" x="904"/>
        <item m="1" x="911"/>
        <item m="1" x="47"/>
        <item x="16"/>
        <item m="1" x="954"/>
        <item m="1" x="217"/>
        <item m="1" x="62"/>
        <item m="1" x="1032"/>
        <item m="1" x="907"/>
        <item m="1" x="57"/>
        <item m="1" x="416"/>
        <item m="1" x="1045"/>
        <item m="1" x="432"/>
        <item m="1" x="116"/>
        <item m="1" x="607"/>
        <item m="1" x="169"/>
        <item m="1" x="59"/>
        <item x="37"/>
        <item m="1" x="811"/>
        <item m="1" x="747"/>
        <item x="11"/>
        <item m="1" x="222"/>
        <item m="1" x="46"/>
        <item m="1" x="939"/>
        <item x="39"/>
        <item m="1" x="1019"/>
        <item m="1" x="762"/>
        <item m="1" x="323"/>
        <item m="1" x="570"/>
        <item m="1" x="709"/>
        <item m="1" x="1041"/>
        <item m="1" x="854"/>
        <item m="1" x="682"/>
        <item m="1" x="1187"/>
        <item m="1" x="800"/>
        <item m="1" x="1136"/>
        <item m="1" x="884"/>
        <item m="1" x="876"/>
        <item m="1" x="526"/>
        <item m="1" x="1167"/>
        <item m="1" x="146"/>
        <item m="1" x="695"/>
        <item m="1" x="211"/>
        <item m="1" x="833"/>
        <item m="1" x="1050"/>
        <item m="1" x="743"/>
        <item m="1" x="160"/>
        <item m="1" x="212"/>
        <item m="1" x="1009"/>
        <item m="1" x="1031"/>
        <item x="26"/>
        <item m="1" x="246"/>
        <item m="1" x="157"/>
        <item m="1" x="921"/>
        <item x="38"/>
        <item m="1" x="245"/>
        <item m="1" x="1046"/>
        <item m="1" x="989"/>
        <item m="1" x="351"/>
        <item m="1" x="808"/>
        <item m="1" x="1037"/>
        <item m="1" x="706"/>
        <item m="1" x="727"/>
        <item m="1" x="684"/>
        <item m="1" x="1025"/>
        <item m="1" x="71"/>
        <item m="1" x="1110"/>
        <item m="1" x="1033"/>
        <item m="1" x="1079"/>
        <item m="1" x="959"/>
        <item m="1" x="53"/>
        <item m="1" x="1171"/>
        <item m="1" x="566"/>
        <item m="1" x="951"/>
        <item m="1" x="779"/>
        <item m="1" x="958"/>
        <item m="1" x="902"/>
        <item m="1" x="1044"/>
        <item m="1" x="886"/>
        <item m="1" x="1108"/>
        <item m="1" x="936"/>
        <item m="1" x="750"/>
        <item m="1" x="974"/>
        <item m="1" x="82"/>
        <item m="1" x="289"/>
        <item m="1" x="1153"/>
        <item m="1" x="840"/>
        <item m="1" x="961"/>
        <item m="1" x="258"/>
        <item m="1" x="165"/>
        <item m="1" x="456"/>
        <item m="1" x="545"/>
        <item m="1" x="1133"/>
        <item m="1" x="1112"/>
        <item m="1" x="714"/>
        <item m="1" x="427"/>
        <item m="1" x="1168"/>
        <item m="1" x="754"/>
        <item m="1" x="617"/>
        <item m="1" x="651"/>
        <item m="1" x="978"/>
        <item m="1" x="925"/>
        <item m="1" x="441"/>
        <item m="1" x="562"/>
        <item x="40"/>
        <item x="35"/>
        <item m="1" x="686"/>
        <item m="1" x="1024"/>
        <item m="1" x="660"/>
        <item m="1" x="973"/>
        <item m="1" x="372"/>
        <item m="1" x="1197"/>
        <item m="1" x="845"/>
        <item m="1" x="623"/>
        <item m="1" x="1125"/>
        <item m="1" x="1003"/>
        <item m="1" x="1059"/>
        <item m="1" x="717"/>
        <item m="1" x="787"/>
        <item m="1" x="776"/>
        <item m="1" x="1088"/>
        <item m="1" x="713"/>
        <item m="1" x="633"/>
        <item m="1" x="755"/>
        <item m="1" x="862"/>
        <item m="1" x="970"/>
        <item m="1" x="417"/>
        <item m="1" x="370"/>
        <item m="1" x="775"/>
        <item m="1" x="760"/>
        <item m="1" x="866"/>
        <item m="1" x="1103"/>
        <item m="1" x="102"/>
        <item m="1" x="1027"/>
        <item m="1" x="930"/>
        <item m="1" x="1053"/>
        <item m="1" x="1057"/>
        <item m="1" x="934"/>
        <item m="1" x="829"/>
        <item m="1" x="1092"/>
        <item m="1" x="1161"/>
        <item m="1" x="1160"/>
        <item m="1" x="1113"/>
        <item m="1" x="990"/>
        <item m="1" x="852"/>
        <item m="1" x="1173"/>
        <item m="1" x="454"/>
        <item m="1" x="1137"/>
        <item m="1" x="716"/>
        <item m="1" x="230"/>
        <item m="1" x="963"/>
        <item m="1" x="817"/>
        <item m="1" x="703"/>
        <item m="1" x="928"/>
        <item m="1" x="932"/>
        <item m="1" x="729"/>
        <item m="1" x="1065"/>
        <item m="1" x="749"/>
        <item m="1" x="76"/>
        <item m="1" x="1142"/>
        <item m="1" x="871"/>
        <item m="1" x="814"/>
        <item m="1" x="512"/>
        <item m="1" x="785"/>
        <item m="1" x="836"/>
        <item m="1" x="991"/>
        <item m="1" x="1021"/>
        <item m="1" x="1028"/>
        <item m="1" x="927"/>
        <item m="1" x="922"/>
        <item m="1" x="941"/>
        <item m="1" x="144"/>
        <item m="1" x="938"/>
        <item m="1" x="853"/>
        <item m="1" x="1195"/>
        <item x="9"/>
        <item m="1" x="1080"/>
        <item m="1" x="300"/>
        <item m="1" x="1117"/>
        <item m="1" x="790"/>
        <item m="1" x="1126"/>
        <item m="1" x="849"/>
        <item m="1" x="923"/>
        <item m="1" x="668"/>
        <item m="1" x="544"/>
        <item m="1" x="708"/>
        <item m="1" x="877"/>
        <item m="1" x="1005"/>
        <item m="1" x="826"/>
        <item m="1" x="685"/>
        <item m="1" x="64"/>
        <item m="1" x="864"/>
        <item m="1" x="788"/>
        <item m="1" x="821"/>
        <item m="1" x="979"/>
        <item m="1" x="1060"/>
        <item m="1" x="1073"/>
        <item m="1" x="73"/>
        <item m="1" x="510"/>
        <item m="1" x="636"/>
        <item m="1" x="1089"/>
        <item m="1" x="926"/>
        <item m="1" x="837"/>
        <item m="1" x="813"/>
        <item m="1" x="1076"/>
        <item m="1" x="778"/>
        <item m="1" x="1105"/>
        <item m="1" x="796"/>
        <item m="1" x="1145"/>
        <item m="1" x="1127"/>
        <item m="1" x="955"/>
        <item m="1" x="735"/>
        <item m="1" x="687"/>
        <item m="1" x="763"/>
        <item m="1" x="1176"/>
        <item m="1" x="956"/>
        <item m="1" x="1154"/>
        <item x="31"/>
        <item m="1" x="988"/>
        <item m="1" x="858"/>
        <item m="1" x="203"/>
        <item m="1" x="752"/>
        <item m="1" x="1146"/>
        <item m="1" x="1040"/>
        <item m="1" x="392"/>
        <item m="1" x="281"/>
        <item m="1" x="764"/>
        <item m="1" x="1130"/>
        <item m="1" x="1017"/>
        <item m="1" x="55"/>
        <item x="30"/>
        <item m="1" x="609"/>
        <item m="1" x="119"/>
        <item m="1" x="1004"/>
        <item m="1" x="1186"/>
        <item m="1" x="819"/>
        <item m="1" x="1087"/>
        <item m="1" x="1086"/>
        <item m="1" x="1191"/>
        <item m="1" x="1158"/>
        <item m="1" x="423"/>
        <item m="1" x="504"/>
        <item m="1" x="1018"/>
        <item m="1" x="761"/>
        <item m="1" x="1055"/>
        <item m="1" x="142"/>
        <item m="1" x="610"/>
        <item x="25"/>
        <item m="1" x="385"/>
        <item m="1" x="975"/>
        <item m="1" x="802"/>
        <item m="1" x="321"/>
        <item m="1" x="342"/>
        <item m="1" x="815"/>
        <item m="1" x="622"/>
        <item m="1" x="117"/>
        <item m="1" x="118"/>
        <item m="1" x="857"/>
        <item m="1" x="799"/>
        <item m="1" x="380"/>
        <item m="1" x="94"/>
        <item m="1" x="1058"/>
        <item m="1" x="1188"/>
        <item m="1" x="1178"/>
        <item m="1" x="1183"/>
        <item m="1" x="863"/>
        <item m="1" x="529"/>
        <item x="4"/>
        <item m="1" x="899"/>
        <item m="1" x="999"/>
        <item m="1" x="603"/>
        <item m="1" x="887"/>
        <item m="1" x="697"/>
        <item m="1" x="965"/>
        <item m="1" x="1071"/>
        <item m="1" x="1143"/>
        <item m="1" x="1056"/>
        <item m="1" x="730"/>
        <item m="1" x="1095"/>
        <item m="1" x="1049"/>
        <item m="1" x="937"/>
        <item m="1" x="310"/>
        <item m="1" x="1062"/>
        <item m="1" x="511"/>
        <item m="1" x="1063"/>
        <item m="1" x="123"/>
        <item m="1" x="124"/>
        <item m="1" x="803"/>
        <item m="1" x="253"/>
        <item m="1" x="1180"/>
        <item m="1" x="573"/>
        <item m="1" x="1006"/>
        <item m="1" x="867"/>
        <item m="1" x="613"/>
        <item m="1" x="879"/>
        <item m="1" x="520"/>
        <item m="1" x="774"/>
        <item m="1" x="782"/>
        <item m="1" x="285"/>
        <item m="1" x="1198"/>
        <item m="1" x="689"/>
        <item m="1" x="797"/>
        <item m="1" x="95"/>
        <item m="1" x="1030"/>
        <item m="1" x="107"/>
        <item m="1" x="1070"/>
        <item m="1" x="914"/>
        <item m="1" x="1132"/>
        <item m="1" x="718"/>
        <item m="1" x="690"/>
        <item m="1" x="80"/>
        <item m="1" x="702"/>
        <item m="1" x="88"/>
        <item m="1" x="733"/>
        <item m="1" x="841"/>
        <item m="1" x="980"/>
        <item m="1" x="900"/>
        <item m="1" x="1185"/>
        <item m="1" x="195"/>
        <item m="1" x="976"/>
        <item m="1" x="691"/>
        <item m="1" x="910"/>
        <item m="1" x="65"/>
        <item m="1" x="626"/>
        <item m="1" x="992"/>
        <item m="1" x="1015"/>
        <item m="1" x="627"/>
        <item m="1" x="1177"/>
        <item m="1" x="1104"/>
        <item m="1" x="233"/>
        <item m="1" x="1190"/>
        <item m="1" x="792"/>
        <item m="1" x="1093"/>
        <item m="1" x="739"/>
        <item m="1" x="354"/>
        <item m="1" x="650"/>
        <item m="1" x="1170"/>
        <item m="1" x="773"/>
        <item m="1" x="1074"/>
        <item x="12"/>
        <item m="1" x="51"/>
        <item m="1" x="948"/>
        <item m="1" x="514"/>
        <item x="21"/>
        <item m="1" x="156"/>
        <item m="1" x="917"/>
        <item m="1" x="1085"/>
        <item m="1" x="547"/>
        <item m="1" x="793"/>
        <item m="1" x="533"/>
        <item m="1" x="933"/>
        <item m="1" x="869"/>
        <item m="1" x="944"/>
        <item m="1" x="839"/>
        <item m="1" x="719"/>
        <item m="1" x="616"/>
        <item m="1" x="982"/>
        <item m="1" x="272"/>
        <item x="3"/>
        <item m="1" x="104"/>
        <item m="1" x="1035"/>
        <item m="1" x="643"/>
        <item m="1" x="972"/>
        <item m="1" x="1043"/>
        <item m="1" x="1099"/>
        <item m="1" x="791"/>
        <item m="1" x="888"/>
        <item m="1" x="896"/>
        <item m="1" x="883"/>
        <item m="1" x="149"/>
        <item m="1" x="1016"/>
        <item m="1" x="49"/>
        <item m="1" x="935"/>
        <item m="1" x="43"/>
        <item m="1" x="993"/>
        <item m="1" x="621"/>
        <item m="1" x="1172"/>
        <item m="1" x="440"/>
        <item m="1" x="1147"/>
        <item m="1" x="216"/>
        <item m="1" x="50"/>
        <item m="1" x="326"/>
        <item m="1" x="704"/>
        <item m="1" x="753"/>
        <item x="2"/>
        <item m="1" x="1114"/>
        <item m="1" x="692"/>
        <item m="1" x="1115"/>
        <item m="1" x="453"/>
        <item m="1" x="842"/>
        <item m="1" x="736"/>
        <item m="1" x="724"/>
        <item m="1" x="587"/>
        <item m="1" x="1124"/>
        <item m="1" x="1159"/>
        <item m="1" x="1094"/>
        <item x="13"/>
        <item m="1" x="125"/>
        <item m="1" x="462"/>
        <item m="1" x="355"/>
        <item m="1" x="696"/>
        <item m="1" x="292"/>
        <item m="1" x="1039"/>
        <item m="1" x="1090"/>
        <item m="1" x="758"/>
        <item m="1" x="783"/>
        <item m="1" x="831"/>
        <item m="1" x="977"/>
        <item m="1" x="1082"/>
        <item m="1" x="486"/>
        <item m="1" x="734"/>
        <item m="1" x="890"/>
        <item m="1" x="1096"/>
        <item m="1" x="1107"/>
        <item m="1" x="1029"/>
        <item m="1" x="1134"/>
        <item m="1" x="940"/>
        <item m="1" x="968"/>
        <item m="1" x="1097"/>
        <item m="1" x="994"/>
        <item m="1" x="838"/>
        <item m="1" x="1139"/>
        <item m="1" x="1078"/>
        <item m="1" x="1068"/>
        <item m="1" x="983"/>
        <item m="1" x="688"/>
        <item m="1" x="855"/>
        <item m="1" x="748"/>
        <item x="10"/>
        <item m="1" x="1182"/>
        <item m="1" x="1119"/>
        <item m="1" x="1054"/>
        <item m="1" x="957"/>
        <item m="1" x="52"/>
        <item m="1" x="1175"/>
        <item m="1" x="715"/>
        <item m="1" x="1022"/>
        <item m="1" x="244"/>
        <item m="1" x="134"/>
        <item m="1" x="742"/>
        <item m="1" x="1101"/>
        <item m="1" x="859"/>
        <item m="1" x="293"/>
        <item m="1" x="740"/>
        <item m="1" x="880"/>
        <item m="1" x="1010"/>
        <item m="1" x="711"/>
        <item m="1" x="681"/>
        <item m="1" x="805"/>
        <item m="1" x="91"/>
        <item x="7"/>
        <item m="1" x="820"/>
        <item m="1" x="818"/>
        <item m="1" x="201"/>
        <item m="1" x="850"/>
        <item m="1" x="537"/>
        <item m="1" x="128"/>
        <item m="1" x="1179"/>
        <item m="1" x="438"/>
        <item m="1" x="767"/>
        <item m="1" x="882"/>
        <item m="1" x="632"/>
        <item m="1" x="1100"/>
        <item m="1" x="1151"/>
        <item m="1" x="1174"/>
        <item m="1" x="683"/>
        <item m="1" x="208"/>
        <item m="1" x="1106"/>
        <item m="1" x="804"/>
        <item m="1" x="1091"/>
        <item m="1" x="929"/>
        <item m="1" x="885"/>
        <item m="1" x="479"/>
        <item m="1" x="943"/>
        <item m="1" x="535"/>
        <item m="1" x="723"/>
        <item m="1" x="721"/>
        <item m="1" x="1111"/>
        <item m="1" x="366"/>
        <item m="1" x="971"/>
        <item m="1" x="170"/>
        <item m="1" x="61"/>
        <item x="17"/>
        <item m="1" x="751"/>
        <item m="1" x="771"/>
        <item m="1" x="433"/>
        <item m="1" x="1072"/>
        <item m="1" x="1144"/>
        <item m="1" x="168"/>
        <item m="1" x="905"/>
        <item m="1" x="1162"/>
        <item m="1" x="745"/>
        <item m="1" x="1150"/>
        <item m="1" x="960"/>
        <item m="1" x="919"/>
        <item m="1" x="945"/>
        <item m="1" x="1193"/>
        <item m="1" x="1011"/>
        <item m="1" x="1194"/>
        <item m="1" x="732"/>
        <item m="1" x="1012"/>
        <item m="1" x="789"/>
        <item m="1" x="801"/>
        <item m="1" x="1069"/>
        <item m="1" x="987"/>
        <item m="1" x="693"/>
        <item m="1" x="141"/>
        <item m="1" x="324"/>
        <item m="1" x="812"/>
        <item m="1" x="662"/>
        <item m="1" x="891"/>
        <item m="1" x="832"/>
        <item m="1" x="1157"/>
        <item m="1" x="746"/>
        <item m="1" x="984"/>
        <item m="1" x="197"/>
        <item m="1" x="737"/>
        <item m="1" x="898"/>
        <item m="1" x="892"/>
        <item m="1" x="1116"/>
        <item m="1" x="931"/>
        <item m="1" x="200"/>
        <item m="1" x="406"/>
        <item m="1" x="334"/>
        <item m="1" x="1098"/>
        <item m="1" x="1102"/>
        <item m="1" x="1149"/>
        <item m="1" x="1081"/>
        <item m="1" x="912"/>
        <item m="1" x="166"/>
        <item m="1" x="726"/>
        <item m="1" x="235"/>
        <item m="1" x="383"/>
        <item m="1" x="332"/>
        <item m="1" x="305"/>
        <item m="1" x="772"/>
        <item m="1" x="722"/>
        <item m="1" x="371"/>
        <item m="1" x="138"/>
        <item m="1" x="794"/>
        <item m="1" x="1083"/>
        <item m="1" x="1156"/>
        <item m="1" x="1020"/>
        <item m="1" x="700"/>
        <item m="1" x="860"/>
        <item m="1" x="712"/>
        <item m="1" x="1189"/>
        <item m="1" x="756"/>
        <item m="1" x="495"/>
        <item m="1" x="916"/>
        <item m="1" x="798"/>
        <item m="1" x="652"/>
        <item m="1" x="653"/>
        <item m="1" x="654"/>
        <item m="1" x="655"/>
        <item m="1" x="656"/>
        <item m="1" x="657"/>
        <item m="1" x="525"/>
        <item m="1" x="659"/>
        <item m="1" x="661"/>
        <item m="1" x="375"/>
        <item m="1" x="664"/>
        <item m="1" x="665"/>
        <item m="1" x="666"/>
        <item m="1" x="667"/>
        <item m="1" x="521"/>
        <item m="1" x="189"/>
        <item m="1" x="669"/>
        <item m="1" x="670"/>
        <item m="1" x="299"/>
        <item m="1" x="671"/>
        <item m="1" x="672"/>
        <item m="1" x="218"/>
        <item m="1" x="673"/>
        <item m="1" x="374"/>
        <item m="1" x="674"/>
        <item m="1" x="239"/>
        <item m="1" x="592"/>
        <item m="1" x="675"/>
        <item m="1" x="676"/>
        <item m="1" x="677"/>
        <item m="1" x="639"/>
        <item m="1" x="601"/>
        <item m="1" x="227"/>
        <item m="1" x="678"/>
        <item m="1" x="608"/>
        <item m="1" x="679"/>
        <item m="1" x="369"/>
        <item m="1" x="356"/>
        <item m="1" x="611"/>
        <item m="1" x="614"/>
        <item m="1" x="615"/>
        <item m="1" x="618"/>
        <item m="1" x="619"/>
        <item m="1" x="620"/>
        <item m="1" x="349"/>
        <item m="1" x="255"/>
        <item m="1" x="624"/>
        <item m="1" x="625"/>
        <item m="1" x="628"/>
        <item m="1" x="629"/>
        <item m="1" x="630"/>
        <item m="1" x="631"/>
        <item m="1" x="634"/>
        <item m="1" x="635"/>
        <item m="1" x="637"/>
        <item m="1" x="638"/>
        <item m="1" x="640"/>
        <item m="1" x="641"/>
        <item m="1" x="207"/>
        <item m="1" x="642"/>
        <item m="1" x="503"/>
        <item m="1" x="644"/>
        <item m="1" x="645"/>
        <item m="1" x="44"/>
        <item m="1" x="646"/>
        <item m="1" x="647"/>
        <item m="1" x="648"/>
        <item m="1" x="649"/>
        <item x="34"/>
        <item m="1" x="588"/>
        <item m="1" x="589"/>
        <item x="19"/>
        <item m="1" x="590"/>
        <item m="1" x="591"/>
        <item m="1" x="593"/>
        <item m="1" x="594"/>
        <item m="1" x="585"/>
        <item m="1" x="595"/>
        <item m="1" x="596"/>
        <item m="1" x="597"/>
        <item m="1" x="598"/>
        <item m="1" x="139"/>
        <item m="1" x="599"/>
        <item m="1" x="600"/>
        <item m="1" x="602"/>
        <item m="1" x="464"/>
        <item m="1" x="604"/>
        <item m="1" x="605"/>
        <item m="1" x="606"/>
        <item m="1" x="567"/>
        <item m="1" x="69"/>
        <item m="1" x="568"/>
        <item m="1" x="569"/>
        <item m="1" x="315"/>
        <item m="1" x="571"/>
        <item m="1" x="574"/>
        <item m="1" x="283"/>
        <item m="1" x="575"/>
        <item m="1" x="74"/>
        <item m="1" x="109"/>
        <item m="1" x="576"/>
        <item m="1" x="578"/>
        <item m="1" x="238"/>
        <item m="1" x="579"/>
        <item m="1" x="580"/>
        <item m="1" x="581"/>
        <item m="1" x="582"/>
        <item m="1" x="583"/>
        <item m="1" x="584"/>
        <item m="1" x="543"/>
        <item m="1" x="162"/>
        <item m="1" x="190"/>
        <item m="1" x="386"/>
        <item m="1" x="546"/>
        <item m="1" x="122"/>
        <item m="1" x="550"/>
        <item m="1" x="551"/>
        <item m="1" x="552"/>
        <item m="1" x="404"/>
        <item m="1" x="553"/>
        <item m="1" x="554"/>
        <item m="1" x="555"/>
        <item m="1" x="556"/>
        <item m="1" x="557"/>
        <item m="1" x="558"/>
        <item m="1" x="559"/>
        <item m="1" x="560"/>
        <item m="1" x="210"/>
        <item m="1" x="561"/>
        <item m="1" x="564"/>
        <item m="1" x="528"/>
        <item m="1" x="565"/>
        <item m="1" x="513"/>
        <item m="1" x="517"/>
        <item m="1" x="518"/>
        <item m="1" x="519"/>
        <item m="1" x="522"/>
        <item m="1" x="523"/>
        <item m="1" x="524"/>
        <item m="1" x="527"/>
        <item m="1" x="530"/>
        <item m="1" x="487"/>
        <item m="1" x="531"/>
        <item m="1" x="532"/>
        <item m="1" x="534"/>
        <item m="1" x="536"/>
        <item m="1" x="540"/>
        <item m="1" x="279"/>
        <item m="1" x="541"/>
        <item m="1" x="542"/>
        <item m="1" x="420"/>
        <item m="1" x="505"/>
        <item m="1" x="232"/>
        <item m="1" x="506"/>
        <item m="1" x="132"/>
        <item m="1" x="449"/>
        <item m="1" x="508"/>
        <item m="1" x="509"/>
        <item m="1" x="472"/>
        <item m="1" x="474"/>
        <item m="1" x="475"/>
        <item m="1" x="476"/>
        <item m="1" x="161"/>
        <item m="1" x="478"/>
        <item m="1" x="480"/>
        <item m="1" x="481"/>
        <item m="1" x="484"/>
        <item m="1" x="485"/>
        <item m="1" x="488"/>
        <item m="1" x="489"/>
        <item m="1" x="490"/>
        <item m="1" x="491"/>
        <item m="1" x="408"/>
        <item m="1" x="492"/>
        <item m="1" x="66"/>
        <item m="1" x="60"/>
        <item m="1" x="194"/>
        <item m="1" x="493"/>
        <item m="1" x="494"/>
        <item m="1" x="457"/>
        <item m="1" x="496"/>
        <item m="1" x="497"/>
        <item m="1" x="498"/>
        <item m="1" x="499"/>
        <item m="1" x="500"/>
        <item m="1" x="501"/>
        <item x="24"/>
        <item m="1" x="502"/>
        <item m="1" x="448"/>
        <item m="1" x="450"/>
        <item m="1" x="451"/>
        <item m="1" x="452"/>
        <item m="1" x="325"/>
        <item m="1" x="455"/>
        <item m="1" x="458"/>
        <item m="1" x="459"/>
        <item m="1" x="461"/>
        <item m="1" x="463"/>
        <item m="1" x="215"/>
        <item m="1" x="465"/>
        <item m="1" x="466"/>
        <item m="1" x="467"/>
        <item m="1" x="468"/>
        <item m="1" x="469"/>
        <item m="1" x="470"/>
        <item m="1" x="471"/>
        <item m="1" x="418"/>
        <item m="1" x="419"/>
        <item m="1" x="328"/>
        <item m="1" x="421"/>
        <item m="1" x="302"/>
        <item m="1" x="422"/>
        <item m="1" x="424"/>
        <item m="1" x="426"/>
        <item m="1" x="428"/>
        <item m="1" x="327"/>
        <item m="1" x="429"/>
        <item m="1" x="430"/>
        <item m="1" x="136"/>
        <item m="1" x="431"/>
        <item m="1" x="434"/>
        <item m="1" x="435"/>
        <item m="1" x="436"/>
        <item m="1" x="437"/>
        <item m="1" x="295"/>
        <item m="1" x="439"/>
        <item m="1" x="290"/>
        <item m="1" x="443"/>
        <item m="1" x="444"/>
        <item m="1" x="445"/>
        <item m="1" x="384"/>
        <item m="1" x="446"/>
        <item m="1" x="447"/>
        <item m="1" x="376"/>
        <item m="1" x="377"/>
        <item m="1" x="378"/>
        <item m="1" x="379"/>
        <item m="1" x="381"/>
        <item m="1" x="382"/>
        <item m="1" x="387"/>
        <item m="1" x="388"/>
        <item m="1" x="389"/>
        <item m="1" x="390"/>
        <item m="1" x="357"/>
        <item m="1" x="391"/>
        <item m="1" x="320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346"/>
        <item m="1" x="402"/>
        <item m="1" x="403"/>
        <item m="1" x="405"/>
        <item m="1" x="407"/>
        <item m="1" x="409"/>
        <item m="1" x="410"/>
        <item m="1" x="412"/>
        <item m="1" x="413"/>
        <item m="1" x="414"/>
        <item m="1" x="415"/>
        <item m="1" x="339"/>
        <item m="1" x="340"/>
        <item m="1" x="341"/>
        <item m="1" x="343"/>
        <item m="1" x="344"/>
        <item m="1" x="345"/>
        <item m="1" x="278"/>
        <item m="1" x="347"/>
        <item m="1" x="348"/>
        <item m="1" x="350"/>
        <item m="1" x="352"/>
        <item m="1" x="262"/>
        <item m="1" x="353"/>
        <item m="1" x="358"/>
        <item m="1" x="360"/>
        <item m="1" x="361"/>
        <item m="1" x="362"/>
        <item m="1" x="363"/>
        <item m="1" x="364"/>
        <item m="1" x="365"/>
        <item m="1" x="367"/>
        <item m="1" x="368"/>
        <item m="1" x="373"/>
        <item m="1" x="313"/>
        <item m="1" x="314"/>
        <item m="1" x="316"/>
        <item m="1" x="317"/>
        <item m="1" x="318"/>
        <item m="1" x="319"/>
        <item m="1" x="252"/>
        <item m="1" x="322"/>
        <item m="1" x="329"/>
        <item m="1" x="330"/>
        <item m="1" x="331"/>
        <item m="1" x="242"/>
        <item m="1" x="333"/>
        <item m="1" x="335"/>
        <item m="1" x="336"/>
        <item m="1" x="337"/>
        <item m="1" x="338"/>
        <item m="1" x="266"/>
        <item m="1" x="267"/>
        <item m="1" x="83"/>
        <item m="1" x="268"/>
        <item m="1" x="269"/>
        <item m="1" x="270"/>
        <item m="1" x="271"/>
        <item m="1" x="273"/>
        <item m="1" x="274"/>
        <item m="1" x="275"/>
        <item m="1" x="276"/>
        <item m="1" x="277"/>
        <item m="1" x="110"/>
        <item m="1" x="280"/>
        <item m="1" x="282"/>
        <item m="1" x="286"/>
        <item m="1" x="287"/>
        <item m="1" x="288"/>
        <item m="1" x="105"/>
        <item m="1" x="291"/>
        <item m="1" x="294"/>
        <item m="1" x="296"/>
        <item m="1" x="297"/>
        <item m="1" x="298"/>
        <item m="1" x="301"/>
        <item m="1" x="304"/>
        <item m="1" x="306"/>
        <item m="1" x="307"/>
        <item m="1" x="309"/>
        <item m="1" x="75"/>
        <item m="1" x="247"/>
        <item m="1" x="248"/>
        <item m="1" x="249"/>
        <item m="1" x="250"/>
        <item m="1" x="251"/>
        <item m="1" x="254"/>
        <item m="1" x="256"/>
        <item m="1" x="257"/>
        <item m="1" x="259"/>
        <item m="1" x="260"/>
        <item m="1" x="261"/>
        <item m="1" x="263"/>
        <item m="1" x="264"/>
        <item m="1" x="209"/>
        <item m="1" x="265"/>
        <item m="1" x="219"/>
        <item m="1" x="220"/>
        <item m="1" x="221"/>
        <item m="1" x="223"/>
        <item m="1" x="224"/>
        <item m="1" x="225"/>
        <item m="1" x="226"/>
        <item m="1" x="228"/>
        <item m="1" x="229"/>
        <item m="1" x="231"/>
        <item m="1" x="234"/>
        <item m="1" x="236"/>
        <item m="1" x="237"/>
        <item m="1" x="240"/>
        <item m="1" x="158"/>
        <item m="1" x="241"/>
        <item m="1" x="243"/>
        <item m="1" x="183"/>
        <item m="1" x="184"/>
        <item m="1" x="185"/>
        <item m="1" x="186"/>
        <item m="1" x="187"/>
        <item m="1" x="188"/>
        <item m="1" x="191"/>
        <item m="1" x="192"/>
        <item m="1" x="193"/>
        <item m="1" x="198"/>
        <item m="1" x="199"/>
        <item m="1" x="204"/>
        <item m="1" x="205"/>
        <item m="1" x="206"/>
        <item m="1" x="213"/>
        <item m="1" x="214"/>
        <item m="1" x="140"/>
        <item m="1" x="143"/>
        <item m="1" x="147"/>
        <item m="1" x="148"/>
        <item m="1" x="150"/>
        <item m="1" x="151"/>
        <item m="1" x="153"/>
        <item m="1" x="155"/>
        <item m="1" x="96"/>
        <item m="1" x="159"/>
        <item m="1" x="163"/>
        <item m="1" x="164"/>
        <item m="1" x="167"/>
        <item m="1" x="172"/>
        <item m="1" x="173"/>
        <item m="1" x="174"/>
        <item m="1" x="175"/>
        <item m="1" x="176"/>
        <item m="1" x="178"/>
        <item m="1" x="179"/>
        <item m="1" x="180"/>
        <item m="1" x="181"/>
        <item m="1" x="106"/>
        <item m="1" x="108"/>
        <item m="1" x="111"/>
        <item m="1" x="112"/>
        <item m="1" x="113"/>
        <item m="1" x="114"/>
        <item m="1" x="115"/>
        <item m="1" x="120"/>
        <item m="1" x="126"/>
        <item m="1" x="63"/>
        <item m="1" x="72"/>
        <item m="1" x="131"/>
        <item m="1" x="133"/>
        <item m="1" x="135"/>
        <item m="1" x="137"/>
        <item m="1" x="48"/>
        <item m="1" x="56"/>
        <item m="1" x="58"/>
        <item m="1" x="67"/>
        <item m="1" x="68"/>
        <item m="1" x="70"/>
        <item m="1" x="77"/>
        <item m="1" x="78"/>
        <item m="1" x="79"/>
        <item m="1" x="81"/>
        <item m="1" x="84"/>
        <item m="1" x="85"/>
        <item m="1" x="86"/>
        <item m="1" x="87"/>
        <item m="1" x="89"/>
        <item m="1" x="90"/>
        <item m="1" x="92"/>
        <item m="1" x="93"/>
        <item m="1" x="98"/>
        <item m="1" x="99"/>
        <item m="1" x="100"/>
        <item m="1" x="101"/>
        <item m="1" x="103"/>
        <item x="5"/>
        <item x="8"/>
        <item x="18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sd="0" x="2"/>
        <item sd="0" m="1" x="4"/>
        <item sd="0" x="0"/>
        <item sd="0" m="1" x="5"/>
        <item sd="0" x="1"/>
        <item h="1" sd="0" x="3"/>
        <item t="default" sd="0"/>
      </items>
    </pivotField>
    <pivotField showAll="0"/>
    <pivotField showAll="0"/>
    <pivotField showAll="0"/>
    <pivotField showAll="0"/>
  </pivotFields>
  <rowFields count="2">
    <field x="19"/>
    <field x="3"/>
  </rowFields>
  <rowItems count="4">
    <i>
      <x/>
    </i>
    <i>
      <x v="2"/>
    </i>
    <i>
      <x v="4"/>
    </i>
    <i t="grand">
      <x/>
    </i>
  </rowItems>
  <colItems count="1">
    <i/>
  </colItems>
  <dataFields count="1">
    <dataField name="Count of No." fld="0" subtotal="count" showDataAs="percentOfCol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A54E02-D05F-465D-9AB6-40FA04A0A075}" name="Table2" displayName="Table2" ref="A6:Y7" totalsRowShown="0" headerRowDxfId="53">
  <autoFilter ref="A6:Y7" xr:uid="{B6A54E02-D05F-465D-9AB6-40FA04A0A075}"/>
  <sortState xmlns:xlrd2="http://schemas.microsoft.com/office/spreadsheetml/2017/richdata2" ref="A7:Y7">
    <sortCondition ref="A6:A7"/>
  </sortState>
  <tableColumns count="25">
    <tableColumn id="1" xr3:uid="{06E33832-EFAF-462A-AD07-6D91FD403506}" name="No." dataDxfId="52"/>
    <tableColumn id="20" xr3:uid="{A09DBB31-0536-4AA0-89B3-1A442E3B5D89}" name="WOR" dataDxfId="51"/>
    <tableColumn id="2" xr3:uid="{C3E73C40-871C-4F2E-AA06-3C3298153DA7}" name="Date" dataDxfId="50"/>
    <tableColumn id="3" xr3:uid="{82FC0C25-8C06-499B-8E0A-3437307F3BCB}" name="Customer" dataDxfId="49"/>
    <tableColumn id="4" xr3:uid="{BA028083-1606-4F24-9030-FA15459DCD6A}" name="Location" dataDxfId="48"/>
    <tableColumn id="5" xr3:uid="{FA63CE54-D4B0-422D-B97C-B0FFB2ACD8D3}" name="Service Type"/>
    <tableColumn id="15" xr3:uid="{83A83FD8-1DFE-4901-925F-EA908B775DF3}" name="SLA Type"/>
    <tableColumn id="6" xr3:uid="{83851F30-620F-436B-9671-724339FF2466}" name="Model No."/>
    <tableColumn id="7" xr3:uid="{8F62879A-64D3-407B-AED2-A3813CF0E9E9}" name="Serial No."/>
    <tableColumn id="19" xr3:uid="{6FB1A8FC-EF72-4FF4-9F24-BB61E12EE9BE}" name="Copycount" dataDxfId="47"/>
    <tableColumn id="8" xr3:uid="{E31E7E57-F078-4D0F-B394-C814AE0290B9}" name="Technician Assigned"/>
    <tableColumn id="25" xr3:uid="{EBFDBC9E-EA0F-4DF5-87DF-AF5E429F98A8}" name="Secondary Tech"/>
    <tableColumn id="9" xr3:uid="{FC7E4848-0D5E-42A7-B489-F099FB065065}" name="Arrival Time" dataDxfId="46"/>
    <tableColumn id="10" xr3:uid="{AF8068D7-4954-412A-BFE4-682DB4C6AF41}" name="Departure Time" dataDxfId="45"/>
    <tableColumn id="23" xr3:uid="{AF2D5B05-FAB8-408C-9840-4CE7B3311F69}" name="Time Taken" dataDxfId="44">
      <calculatedColumnFormula>(Table2[[#This Row],[Departure Time]] - Table2[[#This Row],[Arrival Time]] + (Table2[[#This Row],[Departure Time]] &lt; Table2[[#This Row],[Arrival Time]])) * 24</calculatedColumnFormula>
    </tableColumn>
    <tableColumn id="11" xr3:uid="{7A9EE5F2-8C25-4075-95B7-76EEAF78335D}" name="Parts Required"/>
    <tableColumn id="12" xr3:uid="{545C8578-B26B-4295-B42D-113DE90274FB}" name="Part  No."/>
    <tableColumn id="18" xr3:uid="{A9A739F5-8AD6-41D0-8A3A-CD0F8BB46C32}" name="Description"/>
    <tableColumn id="14" xr3:uid="{FE8CC930-424E-4E98-90D8-9A6367AA9981}" name="QTY" dataDxfId="43"/>
    <tableColumn id="22" xr3:uid="{93AC1885-5F1C-44FC-A33D-AFF92C820ACC}" name="IRO" dataDxfId="42"/>
    <tableColumn id="21" xr3:uid="{CCC7DB5B-67D5-4430-82BE-447B460C017C}" name="Payment Method"/>
    <tableColumn id="17" xr3:uid="{837E1CA8-0DD1-4CE7-A664-A4D415F435EF}" name="Revenue ($)" dataDxfId="41"/>
    <tableColumn id="16" xr3:uid="{09CF4B90-06C6-43A6-82B6-68854B0C33A4}" name="Job Status" dataDxfId="40"/>
    <tableColumn id="24" xr3:uid="{74A60CAF-65E0-4672-9C1C-9778AE9F0116}" name="FTF" dataDxfId="39"/>
    <tableColumn id="13" xr3:uid="{A11D836B-7B49-43DC-9A2C-8BD24C4FF1BB}" name="Comments" dataDxfId="3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565C52-B71D-47EC-979D-6DD5ABAC1560}" name="Table3" displayName="Table3" ref="A4:F5" totalsRowCount="1">
  <autoFilter ref="A4:F4" xr:uid="{12565C52-B71D-47EC-979D-6DD5ABAC1560}"/>
  <sortState xmlns:xlrd2="http://schemas.microsoft.com/office/spreadsheetml/2017/richdata2" ref="A5:F4">
    <sortCondition ref="B4:B4"/>
  </sortState>
  <tableColumns count="6">
    <tableColumn id="1" xr3:uid="{CB788589-A112-43D5-B7E9-F5B35670B6CE}" name="No." dataDxfId="36" totalsRowDxfId="35"/>
    <tableColumn id="2" xr3:uid="{E44061F2-F5F0-4FE2-8AAD-A47170575347}" name="Date" dataDxfId="34" totalsRowDxfId="33"/>
    <tableColumn id="3" xr3:uid="{E1C40F0F-384E-4B75-9F08-F7AD7FA808D5}" name="Customer"/>
    <tableColumn id="4" xr3:uid="{8BF5A83B-F0FA-4E89-9B8A-FC9AD8CAA911}" name="Location"/>
    <tableColumn id="5" xr3:uid="{4DD5D4B3-D5C4-4B6D-AE37-B94DBB655491}" name="Revenue ($)" totalsRowFunction="sum" dataDxfId="32" totalsRowDxfId="31"/>
    <tableColumn id="6" xr3:uid="{0C401483-7B07-4471-ABD2-D7EB2E92CC48}" name="Job Status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718B20-AE68-47EA-AC86-62786AE0F219}" name="Table22" displayName="Table22" ref="A6:V7" totalsRowShown="0" headerRowDxfId="30">
  <autoFilter ref="A6:V7" xr:uid="{B6A54E02-D05F-465D-9AB6-40FA04A0A075}"/>
  <sortState xmlns:xlrd2="http://schemas.microsoft.com/office/spreadsheetml/2017/richdata2" ref="A7:V7">
    <sortCondition ref="C6:C7"/>
  </sortState>
  <tableColumns count="22">
    <tableColumn id="1" xr3:uid="{7607205F-D992-4461-A184-AD0C43077CCB}" name="No."/>
    <tableColumn id="20" xr3:uid="{1B93C367-7E10-4426-8623-872C93A7786B}" name="WOR" dataDxfId="29"/>
    <tableColumn id="2" xr3:uid="{EC3236CB-528C-42A9-A0FC-4BD943A23A43}" name="Date" dataDxfId="28"/>
    <tableColumn id="3" xr3:uid="{FCA15203-7A61-410D-84BA-221766A364E1}" name="Customer" dataDxfId="27"/>
    <tableColumn id="4" xr3:uid="{7350F281-2881-4ED6-B620-D722DD443175}" name="Location" dataDxfId="26"/>
    <tableColumn id="5" xr3:uid="{4C64295E-98EC-4C02-9E92-5BA758CF5E55}" name="Service Type"/>
    <tableColumn id="15" xr3:uid="{EC85271D-09CA-4350-97DD-DCE7E68333B7}" name="SLA Type"/>
    <tableColumn id="6" xr3:uid="{11BA2A12-3A7D-40F4-8896-45E183F639FD}" name="Model No."/>
    <tableColumn id="7" xr3:uid="{CF65647A-BD00-4EDC-90CE-88C6C6182750}" name="Serial No."/>
    <tableColumn id="19" xr3:uid="{2D219864-D5CA-4513-BD8E-36C0393677C4}" name="Copycount"/>
    <tableColumn id="8" xr3:uid="{5129D8CF-5F55-45AD-BCC3-7B508CCB77BA}" name="Technician Assigned"/>
    <tableColumn id="9" xr3:uid="{E2837DAA-802D-478C-90A1-F0DD5299C0BB}" name="Arrival Time" dataDxfId="25"/>
    <tableColumn id="10" xr3:uid="{7DD3993D-0BB0-42C6-A4F1-D1E5801C024F}" name="Departure Time" dataDxfId="24"/>
    <tableColumn id="11" xr3:uid="{3EA77946-9E3A-44FD-8D2E-F8B4DC7A4BA6}" name="Parts Required"/>
    <tableColumn id="12" xr3:uid="{A8EF69B5-4501-4019-9119-1C1DEF0BC38D}" name="Part  No."/>
    <tableColumn id="18" xr3:uid="{D4724B11-83F8-487C-AB9A-14D07B3B7A06}" name="XUW"/>
    <tableColumn id="14" xr3:uid="{6068FF44-6B15-4123-AFDA-F9C0B88E87BD}" name="QTY"/>
    <tableColumn id="22" xr3:uid="{EB28E1D4-7F0D-4745-8D5D-48CD595E7842}" name="IRO"/>
    <tableColumn id="21" xr3:uid="{6350972D-744A-4382-8C2E-4B193A5A7DB7}" name="Payment Method"/>
    <tableColumn id="17" xr3:uid="{EE7C8047-2236-4FC6-9742-0576566E8221}" name="Revenue ($)" dataDxfId="23"/>
    <tableColumn id="16" xr3:uid="{57E38700-B2BF-444B-A6B4-DD19DAF08EDC}" name="Job Status" dataDxfId="22"/>
    <tableColumn id="13" xr3:uid="{2E5B2B1D-56DC-4921-A510-3236933DFE53}" name="Comments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6058-0D6B-476B-93EF-A25B978C673F}">
  <sheetPr codeName="Sheet1"/>
  <dimension ref="A3:B6"/>
  <sheetViews>
    <sheetView workbookViewId="0">
      <selection activeCell="B3" sqref="B3"/>
    </sheetView>
  </sheetViews>
  <sheetFormatPr defaultRowHeight="14.5" x14ac:dyDescent="0.35"/>
  <cols>
    <col min="1" max="1" width="13.1796875" bestFit="1" customWidth="1"/>
    <col min="2" max="2" width="12.1796875" bestFit="1" customWidth="1"/>
  </cols>
  <sheetData>
    <row r="3" spans="1:2" x14ac:dyDescent="0.35">
      <c r="A3" s="14" t="s">
        <v>0</v>
      </c>
      <c r="B3" t="s">
        <v>1</v>
      </c>
    </row>
    <row r="4" spans="1:2" x14ac:dyDescent="0.35">
      <c r="A4" s="13" t="s">
        <v>2</v>
      </c>
      <c r="B4" s="15">
        <v>0.81818181818181823</v>
      </c>
    </row>
    <row r="5" spans="1:2" x14ac:dyDescent="0.35">
      <c r="A5" s="13" t="s">
        <v>3</v>
      </c>
      <c r="B5" s="15">
        <v>0.18181818181818182</v>
      </c>
    </row>
    <row r="6" spans="1:2" x14ac:dyDescent="0.35">
      <c r="A6" s="13" t="s">
        <v>4</v>
      </c>
      <c r="B6" s="15">
        <v>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7403-567D-4A29-A252-3E324CD11AFF}">
  <sheetPr codeName="Sheet2"/>
  <dimension ref="A3:B9"/>
  <sheetViews>
    <sheetView topLeftCell="A4" workbookViewId="0">
      <selection activeCell="C18" sqref="C18"/>
    </sheetView>
  </sheetViews>
  <sheetFormatPr defaultRowHeight="14.5" x14ac:dyDescent="0.35"/>
  <cols>
    <col min="1" max="1" width="13.1796875" bestFit="1" customWidth="1"/>
    <col min="2" max="2" width="12.1796875" bestFit="1" customWidth="1"/>
  </cols>
  <sheetData>
    <row r="3" spans="1:2" x14ac:dyDescent="0.35">
      <c r="A3" s="14" t="s">
        <v>0</v>
      </c>
      <c r="B3" t="s">
        <v>1</v>
      </c>
    </row>
    <row r="4" spans="1:2" x14ac:dyDescent="0.35">
      <c r="A4" s="13" t="s">
        <v>5</v>
      </c>
      <c r="B4" s="15">
        <v>0.17293233082706766</v>
      </c>
    </row>
    <row r="5" spans="1:2" x14ac:dyDescent="0.35">
      <c r="A5" s="13" t="s">
        <v>6</v>
      </c>
      <c r="B5" s="15">
        <v>0.44360902255639095</v>
      </c>
    </row>
    <row r="6" spans="1:2" x14ac:dyDescent="0.35">
      <c r="A6" s="13" t="s">
        <v>7</v>
      </c>
      <c r="B6" s="15">
        <v>0.13533834586466165</v>
      </c>
    </row>
    <row r="7" spans="1:2" x14ac:dyDescent="0.35">
      <c r="A7" s="13" t="s">
        <v>8</v>
      </c>
      <c r="B7" s="15">
        <v>0.23308270676691728</v>
      </c>
    </row>
    <row r="8" spans="1:2" x14ac:dyDescent="0.35">
      <c r="A8" s="13" t="s">
        <v>538</v>
      </c>
      <c r="B8" s="15">
        <v>1.5037593984962405E-2</v>
      </c>
    </row>
    <row r="9" spans="1:2" x14ac:dyDescent="0.35">
      <c r="A9" s="13" t="s">
        <v>4</v>
      </c>
      <c r="B9" s="15">
        <v>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97BE5-5164-459B-BD8A-AE3D980732F8}">
  <sheetPr codeName="Sheet3"/>
  <dimension ref="A3:B7"/>
  <sheetViews>
    <sheetView workbookViewId="0">
      <selection activeCell="P10" sqref="P10"/>
    </sheetView>
  </sheetViews>
  <sheetFormatPr defaultRowHeight="14.5" x14ac:dyDescent="0.35"/>
  <cols>
    <col min="1" max="1" width="13.1796875" bestFit="1" customWidth="1"/>
    <col min="2" max="2" width="12.1796875" bestFit="1" customWidth="1"/>
  </cols>
  <sheetData>
    <row r="3" spans="1:2" x14ac:dyDescent="0.35">
      <c r="A3" s="14" t="s">
        <v>0</v>
      </c>
      <c r="B3" t="s">
        <v>1</v>
      </c>
    </row>
    <row r="4" spans="1:2" x14ac:dyDescent="0.35">
      <c r="A4" s="13" t="s">
        <v>9</v>
      </c>
      <c r="B4" s="15">
        <v>0.30827067669172931</v>
      </c>
    </row>
    <row r="5" spans="1:2" x14ac:dyDescent="0.35">
      <c r="A5" s="13" t="s">
        <v>10</v>
      </c>
      <c r="B5" s="15">
        <v>0.56390977443609025</v>
      </c>
    </row>
    <row r="6" spans="1:2" x14ac:dyDescent="0.35">
      <c r="A6" s="13" t="s">
        <v>11</v>
      </c>
      <c r="B6" s="15">
        <v>0.12781954887218044</v>
      </c>
    </row>
    <row r="7" spans="1:2" x14ac:dyDescent="0.35">
      <c r="A7" s="13" t="s">
        <v>4</v>
      </c>
      <c r="B7" s="15">
        <v>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2D279-07EC-402B-A5BF-3E226EF030DF}">
  <sheetPr codeName="Sheet4"/>
  <dimension ref="A3:B10"/>
  <sheetViews>
    <sheetView workbookViewId="0">
      <selection activeCell="O6" sqref="O6"/>
    </sheetView>
  </sheetViews>
  <sheetFormatPr defaultRowHeight="14.5" x14ac:dyDescent="0.35"/>
  <cols>
    <col min="1" max="1" width="13.1796875" bestFit="1" customWidth="1"/>
    <col min="2" max="2" width="12.1796875" bestFit="1" customWidth="1"/>
  </cols>
  <sheetData>
    <row r="3" spans="1:2" x14ac:dyDescent="0.35">
      <c r="A3" s="14" t="s">
        <v>0</v>
      </c>
      <c r="B3" t="s">
        <v>1</v>
      </c>
    </row>
    <row r="4" spans="1:2" x14ac:dyDescent="0.35">
      <c r="A4" s="13" t="s">
        <v>12</v>
      </c>
      <c r="B4">
        <v>6</v>
      </c>
    </row>
    <row r="5" spans="1:2" x14ac:dyDescent="0.35">
      <c r="A5" s="13" t="s">
        <v>14</v>
      </c>
      <c r="B5">
        <v>43</v>
      </c>
    </row>
    <row r="6" spans="1:2" x14ac:dyDescent="0.35">
      <c r="A6" s="13" t="s">
        <v>15</v>
      </c>
      <c r="B6">
        <v>50</v>
      </c>
    </row>
    <row r="7" spans="1:2" x14ac:dyDescent="0.35">
      <c r="A7" s="13" t="s">
        <v>98</v>
      </c>
      <c r="B7">
        <v>1</v>
      </c>
    </row>
    <row r="8" spans="1:2" x14ac:dyDescent="0.35">
      <c r="A8" s="13" t="s">
        <v>17</v>
      </c>
      <c r="B8">
        <v>28</v>
      </c>
    </row>
    <row r="9" spans="1:2" x14ac:dyDescent="0.35">
      <c r="A9" s="13" t="s">
        <v>537</v>
      </c>
      <c r="B9">
        <v>5</v>
      </c>
    </row>
    <row r="10" spans="1:2" x14ac:dyDescent="0.35">
      <c r="A10" s="13" t="s">
        <v>4</v>
      </c>
      <c r="B10">
        <v>133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D2FB2-7064-4E1B-AC14-87EB18627347}">
  <sheetPr codeName="Sheet5"/>
  <dimension ref="A3:B6"/>
  <sheetViews>
    <sheetView workbookViewId="0">
      <selection activeCell="Q10" sqref="Q10"/>
    </sheetView>
  </sheetViews>
  <sheetFormatPr defaultRowHeight="14.5" x14ac:dyDescent="0.35"/>
  <cols>
    <col min="1" max="1" width="13.1796875" bestFit="1" customWidth="1"/>
    <col min="2" max="2" width="18.54296875" bestFit="1" customWidth="1"/>
  </cols>
  <sheetData>
    <row r="3" spans="1:2" x14ac:dyDescent="0.35">
      <c r="A3" s="14" t="s">
        <v>0</v>
      </c>
      <c r="B3" t="s">
        <v>18</v>
      </c>
    </row>
    <row r="4" spans="1:2" x14ac:dyDescent="0.35">
      <c r="A4" s="13" t="s">
        <v>2</v>
      </c>
      <c r="B4" s="7">
        <v>3400</v>
      </c>
    </row>
    <row r="5" spans="1:2" x14ac:dyDescent="0.35">
      <c r="A5" s="13" t="s">
        <v>3</v>
      </c>
      <c r="B5" s="7">
        <v>5198.5200000000004</v>
      </c>
    </row>
    <row r="6" spans="1:2" x14ac:dyDescent="0.35">
      <c r="A6" s="13" t="s">
        <v>4</v>
      </c>
      <c r="B6" s="7">
        <v>8598.52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87F2-F7F1-4949-A891-48B1BF4D44CC}">
  <sheetPr codeName="Sheet6"/>
  <dimension ref="A3:B5"/>
  <sheetViews>
    <sheetView workbookViewId="0">
      <selection activeCell="M9" sqref="M9"/>
    </sheetView>
  </sheetViews>
  <sheetFormatPr defaultRowHeight="14.5" x14ac:dyDescent="0.35"/>
  <cols>
    <col min="1" max="1" width="13.1796875" bestFit="1" customWidth="1"/>
    <col min="2" max="2" width="12.1796875" bestFit="1" customWidth="1"/>
  </cols>
  <sheetData>
    <row r="3" spans="1:2" x14ac:dyDescent="0.35">
      <c r="A3" s="14" t="s">
        <v>0</v>
      </c>
      <c r="B3" t="s">
        <v>1</v>
      </c>
    </row>
    <row r="4" spans="1:2" x14ac:dyDescent="0.35">
      <c r="A4" s="13" t="s">
        <v>19</v>
      </c>
      <c r="B4" s="15">
        <v>1</v>
      </c>
    </row>
    <row r="5" spans="1:2" x14ac:dyDescent="0.35">
      <c r="A5" s="13" t="s">
        <v>4</v>
      </c>
      <c r="B5" s="15">
        <v>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02CE3-5ABE-4E24-9A0B-564E3E1A1799}">
  <sheetPr codeName="Sheet7"/>
  <dimension ref="A3:B25"/>
  <sheetViews>
    <sheetView workbookViewId="0">
      <selection activeCell="M9" sqref="M9"/>
    </sheetView>
  </sheetViews>
  <sheetFormatPr defaultRowHeight="14.5" x14ac:dyDescent="0.35"/>
  <cols>
    <col min="1" max="1" width="13.1796875" bestFit="1" customWidth="1"/>
    <col min="2" max="2" width="12.1796875" bestFit="1" customWidth="1"/>
  </cols>
  <sheetData>
    <row r="3" spans="1:2" x14ac:dyDescent="0.35">
      <c r="A3" s="14" t="s">
        <v>0</v>
      </c>
      <c r="B3" t="s">
        <v>1</v>
      </c>
    </row>
    <row r="4" spans="1:2" x14ac:dyDescent="0.35">
      <c r="A4" s="18">
        <v>45691</v>
      </c>
      <c r="B4">
        <v>7</v>
      </c>
    </row>
    <row r="5" spans="1:2" x14ac:dyDescent="0.35">
      <c r="A5" s="22" t="s">
        <v>14</v>
      </c>
      <c r="B5">
        <v>3</v>
      </c>
    </row>
    <row r="6" spans="1:2" x14ac:dyDescent="0.35">
      <c r="A6" s="22" t="s">
        <v>15</v>
      </c>
      <c r="B6">
        <v>4</v>
      </c>
    </row>
    <row r="7" spans="1:2" x14ac:dyDescent="0.35">
      <c r="A7" s="18">
        <v>45692</v>
      </c>
      <c r="B7">
        <v>9</v>
      </c>
    </row>
    <row r="8" spans="1:2" x14ac:dyDescent="0.35">
      <c r="A8" s="22" t="s">
        <v>14</v>
      </c>
      <c r="B8">
        <v>2</v>
      </c>
    </row>
    <row r="9" spans="1:2" x14ac:dyDescent="0.35">
      <c r="A9" s="22" t="s">
        <v>15</v>
      </c>
      <c r="B9">
        <v>4</v>
      </c>
    </row>
    <row r="10" spans="1:2" x14ac:dyDescent="0.35">
      <c r="A10" s="22" t="s">
        <v>17</v>
      </c>
      <c r="B10">
        <v>3</v>
      </c>
    </row>
    <row r="11" spans="1:2" x14ac:dyDescent="0.35">
      <c r="A11" s="18">
        <v>45693</v>
      </c>
      <c r="B11">
        <v>7</v>
      </c>
    </row>
    <row r="12" spans="1:2" x14ac:dyDescent="0.35">
      <c r="A12" s="22" t="s">
        <v>12</v>
      </c>
      <c r="B12">
        <v>1</v>
      </c>
    </row>
    <row r="13" spans="1:2" x14ac:dyDescent="0.35">
      <c r="A13" s="22" t="s">
        <v>14</v>
      </c>
      <c r="B13">
        <v>2</v>
      </c>
    </row>
    <row r="14" spans="1:2" x14ac:dyDescent="0.35">
      <c r="A14" s="22" t="s">
        <v>15</v>
      </c>
      <c r="B14">
        <v>2</v>
      </c>
    </row>
    <row r="15" spans="1:2" x14ac:dyDescent="0.35">
      <c r="A15" s="22" t="s">
        <v>17</v>
      </c>
      <c r="B15">
        <v>2</v>
      </c>
    </row>
    <row r="16" spans="1:2" x14ac:dyDescent="0.35">
      <c r="A16" s="18">
        <v>45694</v>
      </c>
      <c r="B16">
        <v>10</v>
      </c>
    </row>
    <row r="17" spans="1:2" x14ac:dyDescent="0.35">
      <c r="A17" s="22" t="s">
        <v>14</v>
      </c>
      <c r="B17">
        <v>2</v>
      </c>
    </row>
    <row r="18" spans="1:2" x14ac:dyDescent="0.35">
      <c r="A18" s="22" t="s">
        <v>15</v>
      </c>
      <c r="B18">
        <v>3</v>
      </c>
    </row>
    <row r="19" spans="1:2" x14ac:dyDescent="0.35">
      <c r="A19" s="22" t="s">
        <v>17</v>
      </c>
      <c r="B19">
        <v>5</v>
      </c>
    </row>
    <row r="20" spans="1:2" x14ac:dyDescent="0.35">
      <c r="A20" s="18">
        <v>45695</v>
      </c>
      <c r="B20">
        <v>18</v>
      </c>
    </row>
    <row r="21" spans="1:2" x14ac:dyDescent="0.35">
      <c r="A21" s="22" t="s">
        <v>12</v>
      </c>
      <c r="B21">
        <v>2</v>
      </c>
    </row>
    <row r="22" spans="1:2" x14ac:dyDescent="0.35">
      <c r="A22" s="22" t="s">
        <v>14</v>
      </c>
      <c r="B22">
        <v>1</v>
      </c>
    </row>
    <row r="23" spans="1:2" x14ac:dyDescent="0.35">
      <c r="A23" s="22" t="s">
        <v>15</v>
      </c>
      <c r="B23">
        <v>6</v>
      </c>
    </row>
    <row r="24" spans="1:2" x14ac:dyDescent="0.35">
      <c r="A24" s="22" t="s">
        <v>17</v>
      </c>
      <c r="B24">
        <v>9</v>
      </c>
    </row>
    <row r="25" spans="1:2" x14ac:dyDescent="0.35">
      <c r="A25" s="18" t="s">
        <v>4</v>
      </c>
      <c r="B25">
        <v>51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F7A96-C61F-4952-B2E4-FB3824A928E8}">
  <sheetPr codeName="Sheet8"/>
  <dimension ref="A3:B7"/>
  <sheetViews>
    <sheetView workbookViewId="0">
      <selection activeCell="P11" sqref="P11"/>
    </sheetView>
  </sheetViews>
  <sheetFormatPr defaultRowHeight="14.5" x14ac:dyDescent="0.35"/>
  <cols>
    <col min="1" max="1" width="13.1796875" bestFit="1" customWidth="1"/>
    <col min="2" max="2" width="12.1796875" bestFit="1" customWidth="1"/>
  </cols>
  <sheetData>
    <row r="3" spans="1:2" x14ac:dyDescent="0.35">
      <c r="A3" s="14" t="s">
        <v>0</v>
      </c>
      <c r="B3" t="s">
        <v>1</v>
      </c>
    </row>
    <row r="4" spans="1:2" x14ac:dyDescent="0.35">
      <c r="A4" s="13" t="s">
        <v>2</v>
      </c>
      <c r="B4" s="15">
        <v>6.7669172932330823E-2</v>
      </c>
    </row>
    <row r="5" spans="1:2" x14ac:dyDescent="0.35">
      <c r="A5" s="13" t="s">
        <v>21</v>
      </c>
      <c r="B5" s="15">
        <v>0.91729323308270672</v>
      </c>
    </row>
    <row r="6" spans="1:2" x14ac:dyDescent="0.35">
      <c r="A6" s="13" t="s">
        <v>3</v>
      </c>
      <c r="B6" s="15">
        <v>1.5037593984962405E-2</v>
      </c>
    </row>
    <row r="7" spans="1:2" x14ac:dyDescent="0.35">
      <c r="A7" s="13" t="s">
        <v>4</v>
      </c>
      <c r="B7" s="15">
        <v>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5565-9BC9-4871-85ED-BC7870A5C7AB}">
  <sheetPr codeName="Sheet9">
    <pageSetUpPr fitToPage="1"/>
  </sheetPr>
  <dimension ref="A1:Y7"/>
  <sheetViews>
    <sheetView tabSelected="1" zoomScale="55" zoomScaleNormal="55" workbookViewId="0">
      <pane ySplit="6" topLeftCell="A156" activePane="bottomLeft" state="frozen"/>
      <selection pane="bottomLeft" activeCell="B180" sqref="B180"/>
    </sheetView>
  </sheetViews>
  <sheetFormatPr defaultRowHeight="14.5" x14ac:dyDescent="0.35"/>
  <cols>
    <col min="1" max="2" width="8" customWidth="1"/>
    <col min="3" max="3" width="15.1796875" customWidth="1"/>
    <col min="4" max="4" width="25.81640625" customWidth="1"/>
    <col min="5" max="5" width="16.26953125" style="1" customWidth="1"/>
    <col min="6" max="6" width="11.453125" bestFit="1" customWidth="1"/>
    <col min="7" max="7" width="11" customWidth="1"/>
    <col min="8" max="8" width="21.54296875" customWidth="1"/>
    <col min="9" max="9" width="19.81640625" customWidth="1"/>
    <col min="10" max="10" width="14.26953125" customWidth="1"/>
    <col min="11" max="11" width="12" customWidth="1"/>
    <col min="12" max="14" width="10.453125" customWidth="1"/>
    <col min="15" max="15" width="11.453125" customWidth="1"/>
    <col min="16" max="16" width="17.453125" customWidth="1"/>
    <col min="17" max="17" width="15.54296875" customWidth="1"/>
    <col min="18" max="18" width="27.453125" customWidth="1"/>
    <col min="19" max="19" width="10.453125" customWidth="1"/>
    <col min="20" max="20" width="12.453125" customWidth="1"/>
    <col min="21" max="21" width="10.54296875" bestFit="1" customWidth="1"/>
    <col min="22" max="23" width="11.453125" customWidth="1"/>
    <col min="24" max="24" width="5.81640625" customWidth="1"/>
    <col min="25" max="25" width="27.1796875" customWidth="1"/>
  </cols>
  <sheetData>
    <row r="1" spans="1:25" ht="67.5" customHeight="1" x14ac:dyDescent="0.3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</row>
    <row r="2" spans="1:25" x14ac:dyDescent="0.35">
      <c r="A2" s="32" t="s">
        <v>22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4"/>
    </row>
    <row r="3" spans="1:25" x14ac:dyDescent="0.35">
      <c r="A3" s="10" t="s">
        <v>23</v>
      </c>
      <c r="B3" s="10"/>
      <c r="C3" s="10"/>
      <c r="P3" s="10" t="s">
        <v>24</v>
      </c>
      <c r="Q3" s="10" t="s">
        <v>25</v>
      </c>
      <c r="R3" s="9"/>
      <c r="S3" s="9"/>
      <c r="T3" s="9"/>
      <c r="U3" s="9"/>
      <c r="V3" s="9"/>
      <c r="W3" s="9"/>
      <c r="X3" s="11"/>
    </row>
    <row r="4" spans="1:25" x14ac:dyDescent="0.35">
      <c r="A4" s="5" t="s">
        <v>26</v>
      </c>
      <c r="B4" s="5"/>
      <c r="C4" s="6">
        <f>(C7)</f>
      </c>
      <c r="P4" s="9"/>
      <c r="Q4" s="9"/>
      <c r="R4" s="9"/>
      <c r="S4" s="9"/>
      <c r="T4" s="9"/>
      <c r="U4" s="9"/>
      <c r="V4" s="9"/>
      <c r="W4" s="9"/>
      <c r="X4" s="9"/>
    </row>
    <row r="6" spans="1:25" ht="38.5" customHeight="1" x14ac:dyDescent="0.35">
      <c r="A6" s="1" t="s">
        <v>27</v>
      </c>
      <c r="B6" s="1" t="s">
        <v>28</v>
      </c>
      <c r="C6" t="s">
        <v>29</v>
      </c>
      <c r="D6" t="s">
        <v>30</v>
      </c>
      <c r="E6" s="1" t="s">
        <v>31</v>
      </c>
      <c r="F6" s="1" t="s">
        <v>32</v>
      </c>
      <c r="G6" s="1" t="s">
        <v>33</v>
      </c>
      <c r="H6" t="s">
        <v>34</v>
      </c>
      <c r="I6" t="s">
        <v>35</v>
      </c>
      <c r="J6" s="8" t="s">
        <v>36</v>
      </c>
      <c r="K6" s="1" t="s">
        <v>37</v>
      </c>
      <c r="L6" s="1" t="s">
        <v>539</v>
      </c>
      <c r="M6" s="1" t="s">
        <v>38</v>
      </c>
      <c r="N6" s="1" t="s">
        <v>39</v>
      </c>
      <c r="O6" s="1" t="s">
        <v>40</v>
      </c>
      <c r="P6" s="1" t="s">
        <v>41</v>
      </c>
      <c r="Q6" t="s">
        <v>42</v>
      </c>
      <c r="R6" t="s">
        <v>43</v>
      </c>
      <c r="S6" t="s">
        <v>44</v>
      </c>
      <c r="T6" t="s">
        <v>45</v>
      </c>
      <c r="U6" s="1" t="s">
        <v>46</v>
      </c>
      <c r="V6" s="1" t="s">
        <v>47</v>
      </c>
      <c r="W6" s="1" t="s">
        <v>48</v>
      </c>
      <c r="X6" s="1" t="s">
        <v>49</v>
      </c>
      <c r="Y6" t="s">
        <v>50</v>
      </c>
    </row>
    <row r="7" spans="1:25" x14ac:dyDescent="0.35">
      <c r="A7" s="4"/>
      <c r="B7" s="4"/>
      <c r="C7" s="3"/>
      <c r="D7" s="1"/>
      <c r="E7" s="1"/>
      <c r="F7"/>
      <c r="G7"/>
      <c r="H7"/>
      <c r="I7"/>
      <c r="J7" s="8"/>
      <c r="K7"/>
      <c r="M7" s="2"/>
      <c r="N7" s="2"/>
      <c r="O7" s="19">
        <f>(Table2[[#This Row],[Departure Time]] - Table2[[#This Row],[Arrival Time]] + (Table2[[#This Row],[Departure Time]] &lt; Table2[[#This Row],[Arrival Time]])) * 24</f>
      </c>
      <c r="P7"/>
      <c r="Q7" s="1"/>
      <c r="R7" s="1"/>
      <c r="S7" s="23"/>
      <c r="T7" s="1"/>
      <c r="U7"/>
      <c r="V7" s="7"/>
      <c r="W7" s="1"/>
      <c r="X7" s="1"/>
      <c r="Y7" s="1"/>
    </row>
  </sheetData>
  <mergeCells count="2">
    <mergeCell ref="A1:X1"/>
    <mergeCell ref="A2:X2"/>
  </mergeCells>
  <phoneticPr fontId="2" type="noConversion"/>
  <conditionalFormatting sqref="I188:I1048576 I1:I6 I11:I12 J161:J187 I14:I19 I117:I160 I21:I25">
    <cfRule type="duplicateValues" dxfId="20" priority="57"/>
  </conditionalFormatting>
  <conditionalFormatting sqref="I188:I1048576 I1:I6 I11:I12 J161:J187 I117:I160 I14:I25">
    <cfRule type="duplicateValues" dxfId="19" priority="20"/>
  </conditionalFormatting>
  <conditionalFormatting sqref="I11:I12 I14:I19 I117:I160 I21:I25 J161:J180">
    <cfRule type="duplicateValues" dxfId="18" priority="314"/>
  </conditionalFormatting>
  <conditionalFormatting sqref="I165">
    <cfRule type="duplicateValues" dxfId="17" priority="14"/>
  </conditionalFormatting>
  <conditionalFormatting sqref="I165">
    <cfRule type="duplicateValues" dxfId="16" priority="13"/>
  </conditionalFormatting>
  <conditionalFormatting sqref="I165">
    <cfRule type="duplicateValues" dxfId="15" priority="15"/>
  </conditionalFormatting>
  <conditionalFormatting sqref="I35:I40 J62 I64:I99 I101:I116 I32:I33 I42:I61">
    <cfRule type="duplicateValues" dxfId="14" priority="384"/>
  </conditionalFormatting>
  <conditionalFormatting sqref="J62 I64:I99 I101:I116 I32:I33 I35:I61">
    <cfRule type="duplicateValues" dxfId="13" priority="390"/>
  </conditionalFormatting>
  <conditionalFormatting sqref="B35:B53 B29:B33 B55:B116">
    <cfRule type="duplicateValues" dxfId="12" priority="395"/>
  </conditionalFormatting>
  <conditionalFormatting sqref="I26:I27">
    <cfRule type="duplicateValues" dxfId="11" priority="419"/>
  </conditionalFormatting>
  <conditionalFormatting sqref="B26:B27">
    <cfRule type="duplicateValues" dxfId="10" priority="421"/>
  </conditionalFormatting>
  <conditionalFormatting sqref="B7:B116">
    <cfRule type="duplicateValues" dxfId="9" priority="435"/>
  </conditionalFormatting>
  <conditionalFormatting sqref="B6 B8:B12 B14:B25 B117:B160">
    <cfRule type="duplicateValues" dxfId="8" priority="473"/>
  </conditionalFormatting>
  <conditionalFormatting sqref="B8:B12 B14:B25 B117:B160">
    <cfRule type="duplicateValues" dxfId="7" priority="478"/>
  </conditionalFormatting>
  <dataValidations count="7">
    <dataValidation type="list" allowBlank="1" showInputMessage="1" showErrorMessage="1" sqref="H181:H187 G7:G179" xr:uid="{08C90AE0-6AC4-4AB4-BE2D-6740D105D40D}">
      <formula1>"Gold,Silver,Bronze,Rental,N/A,ServMaint"</formula1>
    </dataValidation>
    <dataValidation type="list" allowBlank="1" showInputMessage="1" showErrorMessage="1" sqref="X7:X156 Y161:Y187" xr:uid="{F5F5DB28-95DC-4AAA-990B-EABC55C88866}">
      <formula1>"Yes,No,N/A"</formula1>
    </dataValidation>
    <dataValidation type="list" allowBlank="1" showInputMessage="1" showErrorMessage="1" sqref="W7:W179 X161:X187" xr:uid="{1DAFE50B-A37E-43E5-A94E-07629273C062}">
      <formula1>"In Progress,Awaiting Parts,Customer rescheduled,Completed"</formula1>
    </dataValidation>
    <dataValidation type="list" allowBlank="1" showInputMessage="1" showErrorMessage="1" sqref="P7:P179" xr:uid="{78534BD6-D109-4260-AA3D-EACB71E12983}">
      <formula1>"Yes,No"</formula1>
    </dataValidation>
    <dataValidation type="list" allowBlank="1" showInputMessage="1" showErrorMessage="1" sqref="F7:F179" xr:uid="{51F0EDC7-97E8-4A05-96C8-B49482BE7DCB}">
      <formula1>"PM,Per Call,Install,Re-visit,Warranty,Assessment,Courtesy,Discovery,Issue,Service,PFS,Delivery,Training,Internal"</formula1>
    </dataValidation>
    <dataValidation type="list" allowBlank="1" showInputMessage="1" showErrorMessage="1" sqref="K7:L179" xr:uid="{C354B527-D408-4370-BFC5-0A1D798DA863}">
      <formula1>"Ainsley,Garvin,Herman,Jessica,Joel,Kyle,Nafees,Timothy,Kevin,Reggie,Andre"</formula1>
    </dataValidation>
    <dataValidation type="list" allowBlank="1" showInputMessage="1" showErrorMessage="1" sqref="U7:U179" xr:uid="{882198F9-C51D-412B-A10A-AA269BD0B6AE}">
      <formula1>"No charge,Cash,PO,Cheque,Online,Showroom"</formula1>
    </dataValidation>
  </dataValidations>
  <pageMargins left="0.7" right="0.7" top="0.75" bottom="0.75" header="0.3" footer="0.3"/>
  <pageSetup scale="19" fitToWidth="0" orientation="landscape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A08F8-34E9-43C4-A426-B3810CA4C16A}">
  <sheetPr codeName="Sheet10"/>
  <dimension ref="A4:F5"/>
  <sheetViews>
    <sheetView workbookViewId="0">
      <selection activeCell="A4" sqref="A4"/>
    </sheetView>
  </sheetViews>
  <sheetFormatPr defaultRowHeight="14.5" x14ac:dyDescent="0.35"/>
  <cols>
    <col min="1" max="1" width="6" customWidth="1"/>
    <col min="2" max="2" width="9.54296875" customWidth="1"/>
    <col min="3" max="3" width="22.81640625" bestFit="1" customWidth="1"/>
    <col min="4" max="4" width="13.54296875" bestFit="1" customWidth="1"/>
    <col min="5" max="5" width="13.453125" customWidth="1"/>
    <col min="6" max="6" width="11.54296875" customWidth="1"/>
  </cols>
  <sheetData>
    <row r="4" spans="1:6" x14ac:dyDescent="0.35">
      <c r="A4" t="s">
        <v>27</v>
      </c>
      <c r="B4" t="s">
        <v>29</v>
      </c>
      <c r="C4" t="s">
        <v>30</v>
      </c>
      <c r="D4" t="s">
        <v>31</v>
      </c>
      <c r="E4" t="s">
        <v>47</v>
      </c>
      <c r="F4" t="s">
        <v>48</v>
      </c>
    </row>
    <row r="5" spans="1:6" x14ac:dyDescent="0.35">
      <c r="A5" s="4"/>
      <c r="B5" s="3"/>
      <c r="E5" s="21">
        <f>SUBTOTAL(109,Table3[Revenue ($)])</f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85D27-3BCC-45BA-848D-205270F4101B}">
  <sheetPr codeName="Sheet11"/>
  <dimension ref="A1:B149"/>
  <sheetViews>
    <sheetView topLeftCell="A51" workbookViewId="0">
      <selection activeCell="A28" sqref="A28"/>
    </sheetView>
  </sheetViews>
  <sheetFormatPr defaultRowHeight="14.5" x14ac:dyDescent="0.35"/>
  <cols>
    <col min="1" max="1" width="19.54296875" customWidth="1"/>
    <col min="2" max="2" width="21" customWidth="1"/>
  </cols>
  <sheetData>
    <row r="1" spans="1:2" x14ac:dyDescent="0.35">
      <c r="A1" s="25" t="s">
        <v>575</v>
      </c>
      <c r="B1" s="25" t="s">
        <v>576</v>
      </c>
    </row>
    <row r="2" spans="1:2" x14ac:dyDescent="0.35">
      <c r="A2" s="26" t="s">
        <v>577</v>
      </c>
      <c r="B2" s="26" t="s">
        <v>551</v>
      </c>
    </row>
    <row r="3" spans="1:2" x14ac:dyDescent="0.35">
      <c r="A3" s="26" t="s">
        <v>578</v>
      </c>
      <c r="B3" s="26" t="s">
        <v>546</v>
      </c>
    </row>
    <row r="4" spans="1:2" x14ac:dyDescent="0.35">
      <c r="A4" s="26" t="s">
        <v>579</v>
      </c>
      <c r="B4" s="26" t="s">
        <v>545</v>
      </c>
    </row>
    <row r="5" spans="1:2" x14ac:dyDescent="0.35">
      <c r="A5" s="26" t="s">
        <v>580</v>
      </c>
      <c r="B5" s="26" t="s">
        <v>560</v>
      </c>
    </row>
    <row r="6" spans="1:2" x14ac:dyDescent="0.35">
      <c r="A6" s="26" t="s">
        <v>581</v>
      </c>
      <c r="B6" s="26" t="s">
        <v>540</v>
      </c>
    </row>
    <row r="7" spans="1:2" x14ac:dyDescent="0.35">
      <c r="A7" s="26" t="s">
        <v>582</v>
      </c>
      <c r="B7" s="26" t="s">
        <v>542</v>
      </c>
    </row>
    <row r="8" spans="1:2" x14ac:dyDescent="0.35">
      <c r="A8" s="26" t="s">
        <v>583</v>
      </c>
      <c r="B8" s="26" t="s">
        <v>548</v>
      </c>
    </row>
    <row r="9" spans="1:2" x14ac:dyDescent="0.35">
      <c r="A9" s="26" t="s">
        <v>584</v>
      </c>
      <c r="B9" s="26" t="s">
        <v>561</v>
      </c>
    </row>
    <row r="10" spans="1:2" x14ac:dyDescent="0.35">
      <c r="A10" s="26" t="s">
        <v>574</v>
      </c>
      <c r="B10" s="26" t="s">
        <v>550</v>
      </c>
    </row>
    <row r="11" spans="1:2" x14ac:dyDescent="0.35">
      <c r="A11" s="26" t="s">
        <v>585</v>
      </c>
      <c r="B11" s="26" t="s">
        <v>557</v>
      </c>
    </row>
    <row r="12" spans="1:2" x14ac:dyDescent="0.35">
      <c r="A12" s="26" t="s">
        <v>586</v>
      </c>
      <c r="B12" s="26" t="s">
        <v>556</v>
      </c>
    </row>
    <row r="13" spans="1:2" x14ac:dyDescent="0.35">
      <c r="A13" s="26" t="s">
        <v>587</v>
      </c>
      <c r="B13" s="26" t="s">
        <v>562</v>
      </c>
    </row>
    <row r="14" spans="1:2" x14ac:dyDescent="0.35">
      <c r="A14" s="26" t="s">
        <v>588</v>
      </c>
      <c r="B14" s="26" t="s">
        <v>361</v>
      </c>
    </row>
    <row r="15" spans="1:2" x14ac:dyDescent="0.35">
      <c r="A15" s="26" t="s">
        <v>129</v>
      </c>
      <c r="B15" s="26" t="s">
        <v>549</v>
      </c>
    </row>
    <row r="16" spans="1:2" x14ac:dyDescent="0.35">
      <c r="A16" s="26" t="s">
        <v>589</v>
      </c>
      <c r="B16" s="26" t="s">
        <v>563</v>
      </c>
    </row>
    <row r="17" spans="1:2" x14ac:dyDescent="0.35">
      <c r="A17" s="26" t="s">
        <v>590</v>
      </c>
      <c r="B17" s="26" t="s">
        <v>543</v>
      </c>
    </row>
    <row r="18" spans="1:2" x14ac:dyDescent="0.35">
      <c r="A18" s="26" t="s">
        <v>591</v>
      </c>
      <c r="B18" s="26" t="s">
        <v>544</v>
      </c>
    </row>
    <row r="19" spans="1:2" x14ac:dyDescent="0.35">
      <c r="A19" s="26" t="s">
        <v>592</v>
      </c>
      <c r="B19" s="26" t="s">
        <v>553</v>
      </c>
    </row>
    <row r="20" spans="1:2" x14ac:dyDescent="0.35">
      <c r="A20" s="26" t="s">
        <v>593</v>
      </c>
      <c r="B20" s="26" t="s">
        <v>547</v>
      </c>
    </row>
    <row r="21" spans="1:2" x14ac:dyDescent="0.35">
      <c r="A21" s="26" t="s">
        <v>594</v>
      </c>
      <c r="B21" s="26" t="s">
        <v>554</v>
      </c>
    </row>
    <row r="22" spans="1:2" x14ac:dyDescent="0.35">
      <c r="A22" s="26" t="s">
        <v>595</v>
      </c>
      <c r="B22" s="26" t="s">
        <v>564</v>
      </c>
    </row>
    <row r="23" spans="1:2" x14ac:dyDescent="0.35">
      <c r="A23" s="26" t="s">
        <v>596</v>
      </c>
      <c r="B23" s="26" t="s">
        <v>565</v>
      </c>
    </row>
    <row r="24" spans="1:2" x14ac:dyDescent="0.35">
      <c r="A24" s="26" t="s">
        <v>597</v>
      </c>
      <c r="B24" s="26" t="s">
        <v>566</v>
      </c>
    </row>
    <row r="25" spans="1:2" x14ac:dyDescent="0.35">
      <c r="A25" s="26" t="s">
        <v>598</v>
      </c>
      <c r="B25" s="26" t="s">
        <v>559</v>
      </c>
    </row>
    <row r="26" spans="1:2" x14ac:dyDescent="0.35">
      <c r="A26" s="26" t="s">
        <v>599</v>
      </c>
      <c r="B26" s="26" t="s">
        <v>541</v>
      </c>
    </row>
    <row r="27" spans="1:2" x14ac:dyDescent="0.35">
      <c r="A27" s="26" t="s">
        <v>600</v>
      </c>
      <c r="B27" s="26" t="s">
        <v>567</v>
      </c>
    </row>
    <row r="28" spans="1:2" x14ac:dyDescent="0.35">
      <c r="A28" s="26" t="s">
        <v>601</v>
      </c>
      <c r="B28" s="26" t="s">
        <v>542</v>
      </c>
    </row>
    <row r="29" spans="1:2" x14ac:dyDescent="0.35">
      <c r="A29" s="26" t="s">
        <v>602</v>
      </c>
      <c r="B29" s="26" t="s">
        <v>568</v>
      </c>
    </row>
    <row r="30" spans="1:2" x14ac:dyDescent="0.35">
      <c r="A30" s="26" t="s">
        <v>603</v>
      </c>
      <c r="B30" s="26" t="s">
        <v>552</v>
      </c>
    </row>
    <row r="31" spans="1:2" x14ac:dyDescent="0.35">
      <c r="A31" s="26" t="s">
        <v>604</v>
      </c>
      <c r="B31" s="26" t="s">
        <v>75</v>
      </c>
    </row>
    <row r="32" spans="1:2" x14ac:dyDescent="0.35">
      <c r="A32" s="26" t="s">
        <v>605</v>
      </c>
      <c r="B32" s="26" t="s">
        <v>569</v>
      </c>
    </row>
    <row r="33" spans="1:2" x14ac:dyDescent="0.35">
      <c r="A33" s="26" t="s">
        <v>606</v>
      </c>
      <c r="B33" s="26" t="s">
        <v>570</v>
      </c>
    </row>
    <row r="34" spans="1:2" x14ac:dyDescent="0.35">
      <c r="A34" s="26" t="s">
        <v>607</v>
      </c>
      <c r="B34" s="26" t="s">
        <v>571</v>
      </c>
    </row>
    <row r="35" spans="1:2" x14ac:dyDescent="0.35">
      <c r="A35" s="26" t="s">
        <v>608</v>
      </c>
      <c r="B35" s="26" t="s">
        <v>572</v>
      </c>
    </row>
    <row r="36" spans="1:2" x14ac:dyDescent="0.35">
      <c r="A36" s="26" t="s">
        <v>609</v>
      </c>
      <c r="B36" s="26" t="s">
        <v>573</v>
      </c>
    </row>
    <row r="37" spans="1:2" x14ac:dyDescent="0.35">
      <c r="A37" t="s">
        <v>611</v>
      </c>
      <c r="B37" t="s">
        <v>610</v>
      </c>
    </row>
    <row r="38" spans="1:2" x14ac:dyDescent="0.35">
      <c r="A38" t="s">
        <v>612</v>
      </c>
      <c r="B38" t="s">
        <v>555</v>
      </c>
    </row>
    <row r="39" spans="1:2" x14ac:dyDescent="0.35">
      <c r="A39" t="s">
        <v>614</v>
      </c>
      <c r="B39" t="s">
        <v>613</v>
      </c>
    </row>
    <row r="40" spans="1:2" x14ac:dyDescent="0.35">
      <c r="A40" t="s">
        <v>615</v>
      </c>
      <c r="B40" t="s">
        <v>558</v>
      </c>
    </row>
    <row r="41" spans="1:2" x14ac:dyDescent="0.35">
      <c r="A41" t="s">
        <v>616</v>
      </c>
      <c r="B41" t="s">
        <v>95</v>
      </c>
    </row>
    <row r="42" spans="1:2" x14ac:dyDescent="0.35">
      <c r="A42" t="s">
        <v>618</v>
      </c>
      <c r="B42" t="s">
        <v>617</v>
      </c>
    </row>
    <row r="43" spans="1:2" x14ac:dyDescent="0.35">
      <c r="A43" t="s">
        <v>621</v>
      </c>
      <c r="B43" t="s">
        <v>620</v>
      </c>
    </row>
    <row r="44" spans="1:2" x14ac:dyDescent="0.35">
      <c r="A44" t="s">
        <v>623</v>
      </c>
      <c r="B44" t="s">
        <v>622</v>
      </c>
    </row>
    <row r="45" spans="1:2" x14ac:dyDescent="0.35">
      <c r="A45" t="s">
        <v>624</v>
      </c>
      <c r="B45" t="s">
        <v>75</v>
      </c>
    </row>
    <row r="46" spans="1:2" x14ac:dyDescent="0.35">
      <c r="A46" t="s">
        <v>625</v>
      </c>
      <c r="B46" t="s">
        <v>619</v>
      </c>
    </row>
    <row r="47" spans="1:2" x14ac:dyDescent="0.35">
      <c r="A47" t="s">
        <v>627</v>
      </c>
      <c r="B47" t="s">
        <v>626</v>
      </c>
    </row>
    <row r="48" spans="1:2" x14ac:dyDescent="0.35">
      <c r="A48" t="s">
        <v>629</v>
      </c>
      <c r="B48" t="s">
        <v>628</v>
      </c>
    </row>
    <row r="49" spans="1:2" x14ac:dyDescent="0.35">
      <c r="A49" t="s">
        <v>630</v>
      </c>
      <c r="B49" t="s">
        <v>117</v>
      </c>
    </row>
    <row r="50" spans="1:2" x14ac:dyDescent="0.35">
      <c r="A50" t="s">
        <v>632</v>
      </c>
      <c r="B50" t="s">
        <v>631</v>
      </c>
    </row>
    <row r="51" spans="1:2" x14ac:dyDescent="0.35">
      <c r="A51" t="s">
        <v>634</v>
      </c>
      <c r="B51" t="s">
        <v>633</v>
      </c>
    </row>
    <row r="52" spans="1:2" x14ac:dyDescent="0.35">
      <c r="A52" t="s">
        <v>635</v>
      </c>
      <c r="B52" t="s">
        <v>569</v>
      </c>
    </row>
    <row r="53" spans="1:2" x14ac:dyDescent="0.35">
      <c r="A53" t="s">
        <v>637</v>
      </c>
      <c r="B53" t="s">
        <v>636</v>
      </c>
    </row>
    <row r="54" spans="1:2" x14ac:dyDescent="0.35">
      <c r="A54" t="s">
        <v>639</v>
      </c>
      <c r="B54" t="s">
        <v>638</v>
      </c>
    </row>
    <row r="55" spans="1:2" x14ac:dyDescent="0.35">
      <c r="A55" t="s">
        <v>641</v>
      </c>
      <c r="B55" t="s">
        <v>640</v>
      </c>
    </row>
    <row r="56" spans="1:2" x14ac:dyDescent="0.35">
      <c r="A56" t="s">
        <v>643</v>
      </c>
      <c r="B56" t="s">
        <v>642</v>
      </c>
    </row>
    <row r="57" spans="1:2" x14ac:dyDescent="0.35">
      <c r="A57" t="s">
        <v>645</v>
      </c>
      <c r="B57" t="s">
        <v>644</v>
      </c>
    </row>
    <row r="58" spans="1:2" x14ac:dyDescent="0.35">
      <c r="A58">
        <v>919</v>
      </c>
      <c r="B58" t="s">
        <v>646</v>
      </c>
    </row>
    <row r="59" spans="1:2" x14ac:dyDescent="0.35">
      <c r="A59" t="s">
        <v>648</v>
      </c>
      <c r="B59" t="s">
        <v>647</v>
      </c>
    </row>
    <row r="60" spans="1:2" x14ac:dyDescent="0.35">
      <c r="A60" t="s">
        <v>649</v>
      </c>
      <c r="B60" t="s">
        <v>250</v>
      </c>
    </row>
    <row r="61" spans="1:2" x14ac:dyDescent="0.35">
      <c r="A61" t="s">
        <v>651</v>
      </c>
      <c r="B61" t="s">
        <v>650</v>
      </c>
    </row>
    <row r="62" spans="1:2" x14ac:dyDescent="0.35">
      <c r="A62" t="s">
        <v>652</v>
      </c>
      <c r="B62" t="s">
        <v>761</v>
      </c>
    </row>
    <row r="63" spans="1:2" x14ac:dyDescent="0.35">
      <c r="A63">
        <v>512</v>
      </c>
      <c r="B63" t="s">
        <v>653</v>
      </c>
    </row>
    <row r="64" spans="1:2" x14ac:dyDescent="0.35">
      <c r="A64" t="s">
        <v>655</v>
      </c>
      <c r="B64" t="s">
        <v>654</v>
      </c>
    </row>
    <row r="65" spans="1:2" x14ac:dyDescent="0.35">
      <c r="A65" t="s">
        <v>657</v>
      </c>
      <c r="B65" t="s">
        <v>656</v>
      </c>
    </row>
    <row r="66" spans="1:2" x14ac:dyDescent="0.35">
      <c r="A66" t="s">
        <v>659</v>
      </c>
      <c r="B66" t="s">
        <v>658</v>
      </c>
    </row>
    <row r="67" spans="1:2" x14ac:dyDescent="0.35">
      <c r="A67" t="s">
        <v>660</v>
      </c>
      <c r="B67" t="s">
        <v>91</v>
      </c>
    </row>
    <row r="68" spans="1:2" x14ac:dyDescent="0.35">
      <c r="A68" t="s">
        <v>662</v>
      </c>
      <c r="B68" t="s">
        <v>661</v>
      </c>
    </row>
    <row r="69" spans="1:2" x14ac:dyDescent="0.35">
      <c r="A69" t="s">
        <v>664</v>
      </c>
      <c r="B69" t="s">
        <v>663</v>
      </c>
    </row>
    <row r="70" spans="1:2" x14ac:dyDescent="0.35">
      <c r="A70" t="s">
        <v>666</v>
      </c>
      <c r="B70" t="s">
        <v>665</v>
      </c>
    </row>
    <row r="71" spans="1:2" x14ac:dyDescent="0.35">
      <c r="A71" t="s">
        <v>668</v>
      </c>
      <c r="B71" t="s">
        <v>667</v>
      </c>
    </row>
    <row r="72" spans="1:2" x14ac:dyDescent="0.35">
      <c r="A72">
        <v>712</v>
      </c>
      <c r="B72" t="s">
        <v>669</v>
      </c>
    </row>
    <row r="73" spans="1:2" x14ac:dyDescent="0.35">
      <c r="A73">
        <v>922</v>
      </c>
      <c r="B73" t="s">
        <v>646</v>
      </c>
    </row>
    <row r="74" spans="1:2" x14ac:dyDescent="0.35">
      <c r="A74">
        <v>709</v>
      </c>
      <c r="B74" t="s">
        <v>669</v>
      </c>
    </row>
    <row r="75" spans="1:2" x14ac:dyDescent="0.35">
      <c r="A75" t="s">
        <v>670</v>
      </c>
      <c r="B75" t="s">
        <v>553</v>
      </c>
    </row>
    <row r="76" spans="1:2" x14ac:dyDescent="0.35">
      <c r="A76" t="s">
        <v>672</v>
      </c>
      <c r="B76" t="s">
        <v>671</v>
      </c>
    </row>
    <row r="77" spans="1:2" x14ac:dyDescent="0.35">
      <c r="A77" t="s">
        <v>674</v>
      </c>
      <c r="B77" t="s">
        <v>673</v>
      </c>
    </row>
    <row r="78" spans="1:2" x14ac:dyDescent="0.35">
      <c r="A78" t="s">
        <v>676</v>
      </c>
      <c r="B78" t="s">
        <v>675</v>
      </c>
    </row>
    <row r="79" spans="1:2" x14ac:dyDescent="0.35">
      <c r="A79" t="s">
        <v>677</v>
      </c>
      <c r="B79" t="s">
        <v>155</v>
      </c>
    </row>
    <row r="80" spans="1:2" x14ac:dyDescent="0.35">
      <c r="A80" t="s">
        <v>679</v>
      </c>
      <c r="B80" t="s">
        <v>678</v>
      </c>
    </row>
    <row r="81" spans="1:2" x14ac:dyDescent="0.35">
      <c r="A81" t="s">
        <v>680</v>
      </c>
      <c r="B81" t="s">
        <v>678</v>
      </c>
    </row>
    <row r="82" spans="1:2" x14ac:dyDescent="0.35">
      <c r="A82" t="s">
        <v>682</v>
      </c>
      <c r="B82" t="s">
        <v>681</v>
      </c>
    </row>
    <row r="83" spans="1:2" x14ac:dyDescent="0.35">
      <c r="A83" t="s">
        <v>683</v>
      </c>
      <c r="B83" t="s">
        <v>354</v>
      </c>
    </row>
    <row r="84" spans="1:2" x14ac:dyDescent="0.35">
      <c r="A84" t="s">
        <v>685</v>
      </c>
      <c r="B84" t="s">
        <v>684</v>
      </c>
    </row>
    <row r="85" spans="1:2" x14ac:dyDescent="0.35">
      <c r="A85" t="s">
        <v>687</v>
      </c>
      <c r="B85" t="s">
        <v>686</v>
      </c>
    </row>
    <row r="86" spans="1:2" x14ac:dyDescent="0.35">
      <c r="A86" t="s">
        <v>689</v>
      </c>
      <c r="B86" t="s">
        <v>688</v>
      </c>
    </row>
    <row r="87" spans="1:2" x14ac:dyDescent="0.35">
      <c r="A87" t="s">
        <v>690</v>
      </c>
      <c r="B87" t="s">
        <v>568</v>
      </c>
    </row>
    <row r="88" spans="1:2" x14ac:dyDescent="0.35">
      <c r="A88" t="s">
        <v>691</v>
      </c>
      <c r="B88" t="s">
        <v>540</v>
      </c>
    </row>
    <row r="89" spans="1:2" x14ac:dyDescent="0.35">
      <c r="A89" t="s">
        <v>693</v>
      </c>
      <c r="B89" t="s">
        <v>692</v>
      </c>
    </row>
    <row r="90" spans="1:2" x14ac:dyDescent="0.35">
      <c r="A90" t="s">
        <v>694</v>
      </c>
      <c r="B90" t="s">
        <v>572</v>
      </c>
    </row>
    <row r="91" spans="1:2" x14ac:dyDescent="0.35">
      <c r="A91" t="s">
        <v>696</v>
      </c>
      <c r="B91" t="s">
        <v>695</v>
      </c>
    </row>
    <row r="92" spans="1:2" x14ac:dyDescent="0.35">
      <c r="A92" t="s">
        <v>698</v>
      </c>
      <c r="B92" t="s">
        <v>697</v>
      </c>
    </row>
    <row r="93" spans="1:2" x14ac:dyDescent="0.35">
      <c r="A93" t="s">
        <v>700</v>
      </c>
      <c r="B93" t="s">
        <v>699</v>
      </c>
    </row>
    <row r="94" spans="1:2" x14ac:dyDescent="0.35">
      <c r="A94" t="s">
        <v>702</v>
      </c>
      <c r="B94" t="s">
        <v>701</v>
      </c>
    </row>
    <row r="95" spans="1:2" x14ac:dyDescent="0.35">
      <c r="A95" t="s">
        <v>704</v>
      </c>
      <c r="B95" t="s">
        <v>703</v>
      </c>
    </row>
    <row r="96" spans="1:2" x14ac:dyDescent="0.35">
      <c r="A96" t="s">
        <v>705</v>
      </c>
      <c r="B96" t="s">
        <v>706</v>
      </c>
    </row>
    <row r="97" spans="1:2" x14ac:dyDescent="0.35">
      <c r="A97" t="s">
        <v>707</v>
      </c>
      <c r="B97" t="s">
        <v>708</v>
      </c>
    </row>
    <row r="98" spans="1:2" x14ac:dyDescent="0.35">
      <c r="A98" t="s">
        <v>709</v>
      </c>
      <c r="B98" t="s">
        <v>143</v>
      </c>
    </row>
    <row r="99" spans="1:2" x14ac:dyDescent="0.35">
      <c r="A99" t="s">
        <v>711</v>
      </c>
      <c r="B99" t="s">
        <v>710</v>
      </c>
    </row>
    <row r="100" spans="1:2" x14ac:dyDescent="0.35">
      <c r="A100" t="s">
        <v>713</v>
      </c>
      <c r="B100" t="s">
        <v>712</v>
      </c>
    </row>
    <row r="101" spans="1:2" x14ac:dyDescent="0.35">
      <c r="A101" t="s">
        <v>715</v>
      </c>
      <c r="B101" t="s">
        <v>714</v>
      </c>
    </row>
    <row r="102" spans="1:2" x14ac:dyDescent="0.35">
      <c r="A102" t="s">
        <v>716</v>
      </c>
      <c r="B102" t="s">
        <v>552</v>
      </c>
    </row>
    <row r="103" spans="1:2" x14ac:dyDescent="0.35">
      <c r="A103" t="s">
        <v>718</v>
      </c>
      <c r="B103" t="s">
        <v>717</v>
      </c>
    </row>
    <row r="104" spans="1:2" x14ac:dyDescent="0.35">
      <c r="A104" t="s">
        <v>719</v>
      </c>
      <c r="B104" t="s">
        <v>564</v>
      </c>
    </row>
    <row r="105" spans="1:2" x14ac:dyDescent="0.35">
      <c r="A105" t="s">
        <v>720</v>
      </c>
      <c r="B105" t="s">
        <v>152</v>
      </c>
    </row>
    <row r="106" spans="1:2" x14ac:dyDescent="0.35">
      <c r="A106" t="s">
        <v>722</v>
      </c>
      <c r="B106" t="s">
        <v>721</v>
      </c>
    </row>
    <row r="107" spans="1:2" x14ac:dyDescent="0.35">
      <c r="A107" t="s">
        <v>724</v>
      </c>
      <c r="B107" t="s">
        <v>723</v>
      </c>
    </row>
    <row r="108" spans="1:2" x14ac:dyDescent="0.35">
      <c r="A108" t="s">
        <v>726</v>
      </c>
      <c r="B108" t="s">
        <v>725</v>
      </c>
    </row>
    <row r="109" spans="1:2" x14ac:dyDescent="0.35">
      <c r="A109" t="s">
        <v>728</v>
      </c>
      <c r="B109" t="s">
        <v>727</v>
      </c>
    </row>
    <row r="110" spans="1:2" x14ac:dyDescent="0.35">
      <c r="A110" t="s">
        <v>730</v>
      </c>
      <c r="B110" t="s">
        <v>729</v>
      </c>
    </row>
    <row r="111" spans="1:2" x14ac:dyDescent="0.35">
      <c r="A111" t="s">
        <v>732</v>
      </c>
      <c r="B111" t="s">
        <v>731</v>
      </c>
    </row>
    <row r="112" spans="1:2" x14ac:dyDescent="0.35">
      <c r="A112" t="s">
        <v>734</v>
      </c>
      <c r="B112" t="s">
        <v>733</v>
      </c>
    </row>
    <row r="113" spans="1:2" x14ac:dyDescent="0.35">
      <c r="A113" t="s">
        <v>737</v>
      </c>
      <c r="B113" t="s">
        <v>736</v>
      </c>
    </row>
    <row r="114" spans="1:2" x14ac:dyDescent="0.35">
      <c r="A114" t="s">
        <v>738</v>
      </c>
      <c r="B114" t="s">
        <v>661</v>
      </c>
    </row>
    <row r="115" spans="1:2" x14ac:dyDescent="0.35">
      <c r="A115" t="s">
        <v>740</v>
      </c>
      <c r="B115" t="s">
        <v>739</v>
      </c>
    </row>
    <row r="116" spans="1:2" x14ac:dyDescent="0.35">
      <c r="A116" t="s">
        <v>742</v>
      </c>
      <c r="B116" t="s">
        <v>741</v>
      </c>
    </row>
    <row r="117" spans="1:2" x14ac:dyDescent="0.35">
      <c r="A117" t="s">
        <v>743</v>
      </c>
      <c r="B117" t="s">
        <v>448</v>
      </c>
    </row>
    <row r="118" spans="1:2" x14ac:dyDescent="0.35">
      <c r="A118" t="s">
        <v>744</v>
      </c>
      <c r="B118" t="s">
        <v>735</v>
      </c>
    </row>
    <row r="119" spans="1:2" x14ac:dyDescent="0.35">
      <c r="A119" t="s">
        <v>746</v>
      </c>
      <c r="B119" t="s">
        <v>745</v>
      </c>
    </row>
    <row r="120" spans="1:2" x14ac:dyDescent="0.35">
      <c r="A120" t="s">
        <v>748</v>
      </c>
      <c r="B120" t="s">
        <v>747</v>
      </c>
    </row>
    <row r="121" spans="1:2" x14ac:dyDescent="0.35">
      <c r="A121" t="s">
        <v>750</v>
      </c>
      <c r="B121" t="s">
        <v>749</v>
      </c>
    </row>
    <row r="122" spans="1:2" x14ac:dyDescent="0.35">
      <c r="A122" t="s">
        <v>752</v>
      </c>
      <c r="B122" t="s">
        <v>751</v>
      </c>
    </row>
    <row r="123" spans="1:2" x14ac:dyDescent="0.35">
      <c r="A123" t="s">
        <v>753</v>
      </c>
      <c r="B123" t="s">
        <v>143</v>
      </c>
    </row>
    <row r="124" spans="1:2" x14ac:dyDescent="0.35">
      <c r="A124" t="s">
        <v>755</v>
      </c>
      <c r="B124" t="s">
        <v>754</v>
      </c>
    </row>
    <row r="125" spans="1:2" x14ac:dyDescent="0.35">
      <c r="A125" t="s">
        <v>757</v>
      </c>
      <c r="B125" t="s">
        <v>756</v>
      </c>
    </row>
    <row r="126" spans="1:2" x14ac:dyDescent="0.35">
      <c r="A126" t="s">
        <v>758</v>
      </c>
      <c r="B126" t="s">
        <v>566</v>
      </c>
    </row>
    <row r="127" spans="1:2" x14ac:dyDescent="0.35">
      <c r="A127" t="s">
        <v>760</v>
      </c>
      <c r="B127" t="s">
        <v>759</v>
      </c>
    </row>
    <row r="128" spans="1:2" x14ac:dyDescent="0.35">
      <c r="A128" t="s">
        <v>763</v>
      </c>
      <c r="B128" t="s">
        <v>762</v>
      </c>
    </row>
    <row r="129" spans="1:2" x14ac:dyDescent="0.35">
      <c r="A129" t="s">
        <v>764</v>
      </c>
      <c r="B129" t="s">
        <v>250</v>
      </c>
    </row>
    <row r="130" spans="1:2" x14ac:dyDescent="0.35">
      <c r="A130" t="s">
        <v>766</v>
      </c>
      <c r="B130" t="s">
        <v>765</v>
      </c>
    </row>
    <row r="131" spans="1:2" x14ac:dyDescent="0.35">
      <c r="A131" t="s">
        <v>768</v>
      </c>
      <c r="B131" t="s">
        <v>767</v>
      </c>
    </row>
    <row r="132" spans="1:2" x14ac:dyDescent="0.35">
      <c r="A132" t="s">
        <v>770</v>
      </c>
      <c r="B132" t="s">
        <v>769</v>
      </c>
    </row>
    <row r="133" spans="1:2" x14ac:dyDescent="0.35">
      <c r="A133" t="s">
        <v>772</v>
      </c>
      <c r="B133" t="s">
        <v>771</v>
      </c>
    </row>
    <row r="134" spans="1:2" x14ac:dyDescent="0.35">
      <c r="A134" t="s">
        <v>773</v>
      </c>
      <c r="B134" t="s">
        <v>56</v>
      </c>
    </row>
    <row r="135" spans="1:2" x14ac:dyDescent="0.35">
      <c r="A135" t="s">
        <v>775</v>
      </c>
      <c r="B135" t="s">
        <v>774</v>
      </c>
    </row>
    <row r="136" spans="1:2" x14ac:dyDescent="0.35">
      <c r="A136" t="s">
        <v>777</v>
      </c>
      <c r="B136" t="s">
        <v>776</v>
      </c>
    </row>
    <row r="137" spans="1:2" x14ac:dyDescent="0.35">
      <c r="A137" t="s">
        <v>779</v>
      </c>
      <c r="B137" t="s">
        <v>778</v>
      </c>
    </row>
    <row r="138" spans="1:2" x14ac:dyDescent="0.35">
      <c r="A138" t="s">
        <v>780</v>
      </c>
      <c r="B138" t="s">
        <v>563</v>
      </c>
    </row>
    <row r="139" spans="1:2" x14ac:dyDescent="0.35">
      <c r="A139" t="s">
        <v>782</v>
      </c>
      <c r="B139" t="s">
        <v>781</v>
      </c>
    </row>
    <row r="140" spans="1:2" x14ac:dyDescent="0.35">
      <c r="A140" t="s">
        <v>784</v>
      </c>
      <c r="B140" t="s">
        <v>783</v>
      </c>
    </row>
    <row r="141" spans="1:2" x14ac:dyDescent="0.35">
      <c r="A141" t="s">
        <v>786</v>
      </c>
      <c r="B141" t="s">
        <v>785</v>
      </c>
    </row>
    <row r="142" spans="1:2" x14ac:dyDescent="0.35">
      <c r="A142" t="s">
        <v>788</v>
      </c>
      <c r="B142" t="s">
        <v>787</v>
      </c>
    </row>
    <row r="143" spans="1:2" x14ac:dyDescent="0.35">
      <c r="A143" t="s">
        <v>790</v>
      </c>
      <c r="B143" t="s">
        <v>789</v>
      </c>
    </row>
    <row r="144" spans="1:2" x14ac:dyDescent="0.35">
      <c r="A144" t="s">
        <v>791</v>
      </c>
      <c r="B144" t="s">
        <v>546</v>
      </c>
    </row>
    <row r="145" spans="1:2" x14ac:dyDescent="0.35">
      <c r="A145" t="s">
        <v>793</v>
      </c>
      <c r="B145" t="s">
        <v>792</v>
      </c>
    </row>
    <row r="146" spans="1:2" x14ac:dyDescent="0.35">
      <c r="A146" t="s">
        <v>795</v>
      </c>
      <c r="B146" t="s">
        <v>794</v>
      </c>
    </row>
    <row r="147" spans="1:2" x14ac:dyDescent="0.35">
      <c r="A147" t="s">
        <v>797</v>
      </c>
      <c r="B147" t="s">
        <v>796</v>
      </c>
    </row>
    <row r="148" spans="1:2" x14ac:dyDescent="0.35">
      <c r="A148" t="s">
        <v>799</v>
      </c>
      <c r="B148" t="s">
        <v>798</v>
      </c>
    </row>
    <row r="149" spans="1:2" x14ac:dyDescent="0.35">
      <c r="A149" t="s">
        <v>965</v>
      </c>
      <c r="B149" t="s">
        <v>950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6902C-0A45-4A57-BF6D-3F9A299128A6}">
  <sheetPr codeName="Sheet12"/>
  <dimension ref="A1:V7"/>
  <sheetViews>
    <sheetView zoomScaleNormal="100" workbookViewId="0">
      <pane ySplit="6" topLeftCell="A7" activePane="bottomLeft" state="frozen"/>
      <selection pane="bottomLeft" sqref="A1:V1"/>
    </sheetView>
  </sheetViews>
  <sheetFormatPr defaultRowHeight="14.5" x14ac:dyDescent="0.35"/>
  <cols>
    <col min="1" max="2" width="8" customWidth="1"/>
    <col min="3" max="3" width="9.81640625" customWidth="1"/>
    <col min="4" max="4" width="21.54296875" customWidth="1"/>
    <col min="5" max="5" width="13.54296875" customWidth="1"/>
    <col min="6" max="6" width="10.453125" bestFit="1" customWidth="1"/>
    <col min="7" max="7" width="11" customWidth="1"/>
    <col min="8" max="8" width="16.1796875" bestFit="1" customWidth="1"/>
    <col min="9" max="9" width="19.54296875" customWidth="1"/>
    <col min="10" max="10" width="12.453125" customWidth="1"/>
    <col min="11" max="11" width="12" customWidth="1"/>
    <col min="12" max="13" width="10.453125" customWidth="1"/>
    <col min="14" max="14" width="11.453125" customWidth="1"/>
    <col min="15" max="15" width="17.453125" customWidth="1"/>
    <col min="16" max="16" width="15.54296875" customWidth="1"/>
    <col min="17" max="17" width="6.54296875" bestFit="1" customWidth="1"/>
    <col min="18" max="18" width="9" customWidth="1"/>
    <col min="19" max="19" width="12.453125" customWidth="1"/>
    <col min="20" max="20" width="10.54296875" bestFit="1" customWidth="1"/>
    <col min="21" max="21" width="11.453125" customWidth="1"/>
    <col min="22" max="22" width="31.81640625" customWidth="1"/>
  </cols>
  <sheetData>
    <row r="1" spans="1:22" ht="67.5" customHeight="1" x14ac:dyDescent="0.3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</row>
    <row r="2" spans="1:22" x14ac:dyDescent="0.35">
      <c r="A2" s="32" t="s">
        <v>22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4"/>
    </row>
    <row r="3" spans="1:22" x14ac:dyDescent="0.35">
      <c r="A3" s="10" t="s">
        <v>23</v>
      </c>
      <c r="B3" s="10"/>
      <c r="C3" s="10"/>
      <c r="O3" s="10" t="s">
        <v>24</v>
      </c>
      <c r="P3" s="10" t="s">
        <v>25</v>
      </c>
      <c r="Q3" s="9"/>
      <c r="R3" s="9"/>
      <c r="S3" s="9"/>
      <c r="T3" s="9"/>
      <c r="U3" s="9"/>
      <c r="V3" s="11"/>
    </row>
    <row r="4" spans="1:22" x14ac:dyDescent="0.35">
      <c r="A4" s="5" t="s">
        <v>26</v>
      </c>
      <c r="B4" s="5"/>
      <c r="C4" s="6"/>
      <c r="O4" s="9"/>
      <c r="P4" s="9"/>
      <c r="Q4" s="9"/>
      <c r="R4" s="9"/>
      <c r="S4" s="9"/>
      <c r="T4" s="9"/>
      <c r="U4" s="9"/>
      <c r="V4" s="9"/>
    </row>
    <row r="6" spans="1:22" ht="29" x14ac:dyDescent="0.35">
      <c r="A6" s="1" t="s">
        <v>27</v>
      </c>
      <c r="B6" s="1" t="s">
        <v>28</v>
      </c>
      <c r="C6" t="s">
        <v>29</v>
      </c>
      <c r="D6" t="s">
        <v>30</v>
      </c>
      <c r="E6" t="s">
        <v>31</v>
      </c>
      <c r="F6" s="1" t="s">
        <v>32</v>
      </c>
      <c r="G6" s="1" t="s">
        <v>33</v>
      </c>
      <c r="H6" t="s">
        <v>34</v>
      </c>
      <c r="I6" t="s">
        <v>35</v>
      </c>
      <c r="J6" t="s">
        <v>36</v>
      </c>
      <c r="K6" s="1" t="s">
        <v>37</v>
      </c>
      <c r="L6" s="1" t="s">
        <v>38</v>
      </c>
      <c r="M6" s="1" t="s">
        <v>39</v>
      </c>
      <c r="N6" s="1" t="s">
        <v>41</v>
      </c>
      <c r="O6" t="s">
        <v>42</v>
      </c>
      <c r="P6" t="s">
        <v>129</v>
      </c>
      <c r="Q6" t="s">
        <v>44</v>
      </c>
      <c r="R6" t="s">
        <v>45</v>
      </c>
      <c r="S6" s="1" t="s">
        <v>46</v>
      </c>
      <c r="T6" s="1" t="s">
        <v>47</v>
      </c>
      <c r="U6" s="1" t="s">
        <v>48</v>
      </c>
      <c r="V6" t="s">
        <v>50</v>
      </c>
    </row>
    <row r="7" spans="1:22" ht="72.5" x14ac:dyDescent="0.35">
      <c r="A7" s="4"/>
      <c r="B7" s="4"/>
      <c r="C7" s="3"/>
      <c r="D7" s="1"/>
      <c r="E7" s="1"/>
      <c r="F7"/>
      <c r="G7"/>
      <c r="H7"/>
      <c r="I7"/>
      <c r="J7" s="8"/>
      <c r="K7"/>
      <c r="L7" s="2"/>
      <c r="M7" s="2"/>
      <c r="N7"/>
      <c r="O7" s="1"/>
      <c r="P7" s="1"/>
      <c r="Q7" s="1"/>
      <c r="S7"/>
      <c r="T7" s="7"/>
      <c r="U7" s="1"/>
      <c r="V7" s="1"/>
    </row>
  </sheetData>
  <mergeCells count="2">
    <mergeCell ref="A1:V1"/>
    <mergeCell ref="A2:V2"/>
  </mergeCells>
  <conditionalFormatting sqref="B7:B238">
    <cfRule type="duplicateValues" dxfId="6" priority="7"/>
  </conditionalFormatting>
  <conditionalFormatting sqref="I1:I181 I183:I1048576">
    <cfRule type="duplicateValues" dxfId="5" priority="1"/>
  </conditionalFormatting>
  <conditionalFormatting sqref="I7">
    <cfRule type="duplicateValues" dxfId="4" priority="4"/>
  </conditionalFormatting>
  <conditionalFormatting sqref="I8:I101 I103:I181 I183:I238">
    <cfRule type="duplicateValues" dxfId="3" priority="6"/>
  </conditionalFormatting>
  <conditionalFormatting sqref="I102">
    <cfRule type="duplicateValues" dxfId="2" priority="3"/>
    <cfRule type="duplicateValues" dxfId="1" priority="5"/>
  </conditionalFormatting>
  <conditionalFormatting sqref="I108">
    <cfRule type="duplicateValues" dxfId="0" priority="2"/>
  </conditionalFormatting>
  <dataValidations count="6">
    <dataValidation type="list" allowBlank="1" showInputMessage="1" showErrorMessage="1" sqref="N7:N238" xr:uid="{2D650480-BDE9-40C7-A075-DA26F623396D}">
      <formula1>"Yes,No"</formula1>
    </dataValidation>
    <dataValidation type="list" allowBlank="1" showInputMessage="1" showErrorMessage="1" sqref="S7:S238" xr:uid="{CE50E0D4-4016-444F-8651-8147A6A04CE6}">
      <formula1>"No charge,Cash,PO,Cheque,Online,Showroom"</formula1>
    </dataValidation>
    <dataValidation type="list" allowBlank="1" showInputMessage="1" showErrorMessage="1" sqref="K7:K238" xr:uid="{EF8FF6BC-FA0C-4DEA-836A-D0DCB09C7392}">
      <formula1>"Ainsley,Garvin,Herman,Jessica,Jodec,Joel,Taurean"</formula1>
    </dataValidation>
    <dataValidation type="list" allowBlank="1" showInputMessage="1" showErrorMessage="1" sqref="U21:U238 U7:U19" xr:uid="{0E882191-D7FA-445B-B44F-A4EA711CAB8C}">
      <formula1>"In Progress,Awaiting Parts,Customer rescheduled,Completed"</formula1>
    </dataValidation>
    <dataValidation type="list" allowBlank="1" showInputMessage="1" showErrorMessage="1" sqref="G7:G238" xr:uid="{AD2112ED-D8A9-48AE-BDFE-457146AA1270}">
      <formula1>"Gold,Silver,Bronze,Rental,N/A,ServMaint"</formula1>
    </dataValidation>
    <dataValidation type="list" allowBlank="1" showInputMessage="1" showErrorMessage="1" sqref="F7:F238" xr:uid="{FA942779-AB65-4E04-936C-A9FCB7349C76}">
      <formula1>"PM,Per Call,Install,Re-visit,Warranty,Assessment,Courtesy,Discovery,Issue,Service,PFS,Delivery,Training,Internal"</formula1>
    </dataValidation>
  </dataValidations>
  <pageMargins left="0.7" right="0.7" top="0.75" bottom="0.75" header="0.3" footer="0.3"/>
  <pageSetup orientation="portrait" verticalDpi="12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Sheet2</vt:lpstr>
      <vt:lpstr>Service Type Dist.</vt:lpstr>
      <vt:lpstr>SLA Dist.</vt:lpstr>
      <vt:lpstr>WO Dist. by Tech</vt:lpstr>
      <vt:lpstr>Revenue Breakdown</vt:lpstr>
      <vt:lpstr>Work Order Status</vt:lpstr>
      <vt:lpstr>Weekly WO Dist.</vt:lpstr>
      <vt:lpstr>Payment Breakdown</vt:lpstr>
      <vt:lpstr>Master</vt:lpstr>
      <vt:lpstr>Weekly update</vt:lpstr>
      <vt:lpstr>PrefixMap</vt:lpstr>
      <vt:lpstr>Master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Denys Kowlessar</dc:creator>
  <cp:keywords/>
  <dc:description/>
  <cp:lastModifiedBy>Timothy Adams</cp:lastModifiedBy>
  <cp:revision/>
  <cp:lastPrinted>2026-04-02T14:41:22Z</cp:lastPrinted>
  <dcterms:created xsi:type="dcterms:W3CDTF">2021-12-14T11:39:52Z</dcterms:created>
  <dcterms:modified xsi:type="dcterms:W3CDTF">2026-09-17T12:45:19Z</dcterms:modified>
  <cp:category/>
  <cp:contentStatus/>
</cp:coreProperties>
</file>