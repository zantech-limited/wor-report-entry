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imoT\Documents\ChatGPT\Work order reports\.checks\sep-export\"/>
    </mc:Choice>
  </mc:AlternateContent>
  <xr:revisionPtr revIDLastSave="0" documentId="8_{740E5918-75CB-4E28-B51D-85136FCAC56D}" xr6:coauthVersionLast="47" xr6:coauthVersionMax="47" xr10:uidLastSave="{00000000-0000-0000-0000-000000000000}"/>
  <bookViews>
    <workbookView xWindow="5490" yWindow="2865" windowWidth="21600" windowHeight="11835" firstSheet="6" activeTab="8" xr2:uid="{7F74CEA5-5BFC-4570-B47A-097F97EDDB51}"/>
  </bookViews>
  <sheets>
    <sheet name="Sheet2" sheetId="5" state="hidden" r:id="rId1"/>
    <sheet name="Service Type Dist." sheetId="7" r:id="rId2"/>
    <sheet name="SLA Dist." sheetId="8" r:id="rId3"/>
    <sheet name="WO Dist. by Tech" sheetId="9" r:id="rId4"/>
    <sheet name="Revenue Breakdown" sheetId="15" r:id="rId5"/>
    <sheet name="Work Order Status" sheetId="17" r:id="rId6"/>
    <sheet name="Weekly WO Dist." sheetId="16" r:id="rId7"/>
    <sheet name="Payment Breakdown" sheetId="18" r:id="rId8"/>
    <sheet name="Master" sheetId="1" r:id="rId9"/>
    <sheet name="Weekly update" sheetId="20" r:id="rId10"/>
    <sheet name="PrefixMap" sheetId="21" r:id="rId11"/>
    <sheet name="Master (2)" sheetId="19" state="hidden" r:id="rId12"/>
  </sheets>
  <calcPr calcId="191028"/>
  <pivotCaches>
    <pivotCache cacheId="82" r:id="rId13"/>
    <pivotCache cacheId="87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<sst xmlns="http://schemas.openxmlformats.org/spreadsheetml/2006/main" count="389" uniqueCount="309">
  <si>
    <t>Row Labels</t>
  </si>
  <si>
    <t>Count of No.</t>
  </si>
  <si>
    <t>Grand Total</t>
  </si>
  <si>
    <t>Sum of Revenue ($)</t>
  </si>
  <si>
    <t>Monthly Service Report</t>
  </si>
  <si>
    <t xml:space="preserve">Date: </t>
  </si>
  <si>
    <t>Prepared by:</t>
  </si>
  <si>
    <t>Denys Kowlessar</t>
  </si>
  <si>
    <t xml:space="preserve">Month: </t>
  </si>
  <si>
    <t>No.</t>
  </si>
  <si>
    <t>WOR</t>
  </si>
  <si>
    <t>Date</t>
  </si>
  <si>
    <t>Customer</t>
  </si>
  <si>
    <t>Location</t>
  </si>
  <si>
    <t>Service Type</t>
  </si>
  <si>
    <t>SLA Type</t>
  </si>
  <si>
    <t>Model No.</t>
  </si>
  <si>
    <t>Serial No.</t>
  </si>
  <si>
    <t>Copycount</t>
  </si>
  <si>
    <t>Technician Assigned</t>
  </si>
  <si>
    <t>Arrival Time</t>
  </si>
  <si>
    <t>Departure Time</t>
  </si>
  <si>
    <t>Time Taken</t>
  </si>
  <si>
    <t>Parts Required</t>
  </si>
  <si>
    <t>Part  No.</t>
  </si>
  <si>
    <t>Description</t>
  </si>
  <si>
    <t>QTY</t>
  </si>
  <si>
    <t>IRO</t>
  </si>
  <si>
    <t>Payment Method</t>
  </si>
  <si>
    <t>Revenue ($)</t>
  </si>
  <si>
    <t>Job Status</t>
  </si>
  <si>
    <t>FTF</t>
  </si>
  <si>
    <t>Comments</t>
  </si>
  <si>
    <t>IR 1643iF</t>
  </si>
  <si>
    <t>IR 2525</t>
  </si>
  <si>
    <t>IR 2630</t>
  </si>
  <si>
    <t>IR ADV 4245</t>
  </si>
  <si>
    <t>IR 1435iF</t>
  </si>
  <si>
    <t>XUW</t>
  </si>
  <si>
    <t>IR ADV C3226i</t>
  </si>
  <si>
    <t>IR ADV C5535i</t>
  </si>
  <si>
    <t>IR ADV 4545i</t>
  </si>
  <si>
    <t>IR ADV 400iF</t>
  </si>
  <si>
    <t>WG7140</t>
  </si>
  <si>
    <t>IR ADV C5540i</t>
  </si>
  <si>
    <t>MF 8580</t>
  </si>
  <si>
    <t>Secondary Tech</t>
  </si>
  <si>
    <t>IR ADV DX 4745i</t>
  </si>
  <si>
    <t>IR ADV 4545i II</t>
  </si>
  <si>
    <t>IR ADV DX C3826i</t>
  </si>
  <si>
    <t>IR ADV 4525i III</t>
  </si>
  <si>
    <t>IR C3326i</t>
  </si>
  <si>
    <t>IR ADV DX C3730i</t>
  </si>
  <si>
    <t>IR ADV DX C5850i</t>
  </si>
  <si>
    <t>IR ADV C3525i III</t>
  </si>
  <si>
    <t>IR ADV C3325i</t>
  </si>
  <si>
    <t>IR ADV C5535i II</t>
  </si>
  <si>
    <t>IR ADV DX 529iF</t>
  </si>
  <si>
    <t>IR ADV C3525i II</t>
  </si>
  <si>
    <t>IR ADV DX C3930i</t>
  </si>
  <si>
    <t>IR ADV C5535i III</t>
  </si>
  <si>
    <t>IR ADV DX C3926i</t>
  </si>
  <si>
    <t>IR ADV C5560i II</t>
  </si>
  <si>
    <t>IR ADV DX 4845i</t>
  </si>
  <si>
    <t>IR ADV DX C5735i</t>
  </si>
  <si>
    <t>IR ADV DX C5840i</t>
  </si>
  <si>
    <t>IR ADV DX 4725i</t>
  </si>
  <si>
    <t>IR C3226i</t>
  </si>
  <si>
    <t>Kisan Mini</t>
  </si>
  <si>
    <t>IR ADV 6565I</t>
  </si>
  <si>
    <t>IR ADV C5560I</t>
  </si>
  <si>
    <t>IR ADV DX 4925i</t>
  </si>
  <si>
    <t>IR ADV C5540i III</t>
  </si>
  <si>
    <t>IR 1643iF II</t>
  </si>
  <si>
    <t>IR ADV DX 4935i</t>
  </si>
  <si>
    <t>IR ADV DX C3830i</t>
  </si>
  <si>
    <t>PIXMA G3160</t>
  </si>
  <si>
    <t>IR ADV C5255</t>
  </si>
  <si>
    <t>IR ADV DX C3935i</t>
  </si>
  <si>
    <t>IR ADV DX C257iF</t>
  </si>
  <si>
    <t>IR ADV DX 527iF</t>
  </si>
  <si>
    <t>4GN</t>
  </si>
  <si>
    <t>A (Prefix)</t>
  </si>
  <si>
    <t>B (Model)</t>
  </si>
  <si>
    <t>XTK</t>
  </si>
  <si>
    <t>2XW</t>
  </si>
  <si>
    <t>2UR</t>
  </si>
  <si>
    <t>32M</t>
  </si>
  <si>
    <t>25J</t>
  </si>
  <si>
    <t>3GA</t>
  </si>
  <si>
    <t>QTW</t>
  </si>
  <si>
    <t>N22</t>
  </si>
  <si>
    <t>3BN</t>
  </si>
  <si>
    <t>4TV</t>
  </si>
  <si>
    <t>SMJ</t>
  </si>
  <si>
    <t>XLJ</t>
  </si>
  <si>
    <t>WXC</t>
  </si>
  <si>
    <t>2RW</t>
  </si>
  <si>
    <t>4NB</t>
  </si>
  <si>
    <t>2KK</t>
  </si>
  <si>
    <t>2GH</t>
  </si>
  <si>
    <t>4MK</t>
  </si>
  <si>
    <t>4PL</t>
  </si>
  <si>
    <t>2JV</t>
  </si>
  <si>
    <t>34W</t>
  </si>
  <si>
    <t>4AF</t>
  </si>
  <si>
    <t>XVR</t>
  </si>
  <si>
    <t>4TH</t>
  </si>
  <si>
    <t>4CD</t>
  </si>
  <si>
    <t>4BT</t>
  </si>
  <si>
    <t>4LY</t>
  </si>
  <si>
    <t>FRU</t>
  </si>
  <si>
    <t>KNX</t>
  </si>
  <si>
    <t>JMB</t>
  </si>
  <si>
    <t>4LM</t>
  </si>
  <si>
    <t>4QS</t>
  </si>
  <si>
    <t>23D</t>
  </si>
  <si>
    <t>IR ADV DX 8995i</t>
  </si>
  <si>
    <t>27Y</t>
  </si>
  <si>
    <t>XTZ</t>
  </si>
  <si>
    <t>IR ADV C3530i III</t>
  </si>
  <si>
    <t>2GU</t>
  </si>
  <si>
    <t>2YJ</t>
  </si>
  <si>
    <t>RKM</t>
  </si>
  <si>
    <t>imageCLASS X MF1538C</t>
  </si>
  <si>
    <t>4UN</t>
  </si>
  <si>
    <t>IR ADV C5535I</t>
  </si>
  <si>
    <t>IR ADV C3530i II</t>
  </si>
  <si>
    <t>XTD</t>
  </si>
  <si>
    <t>IR ADV 6565i III</t>
  </si>
  <si>
    <t>2LN</t>
  </si>
  <si>
    <t>RMU</t>
  </si>
  <si>
    <t>WXF</t>
  </si>
  <si>
    <t>IR ADV C5235 UL</t>
  </si>
  <si>
    <t>JWH</t>
  </si>
  <si>
    <t>imageCLASS X MF1333C</t>
  </si>
  <si>
    <t>3VT</t>
  </si>
  <si>
    <t>RZJ</t>
  </si>
  <si>
    <t>imageCLASS X MF1127C</t>
  </si>
  <si>
    <t>MF1</t>
  </si>
  <si>
    <t>IR ADV C250iF</t>
  </si>
  <si>
    <t>QNR</t>
  </si>
  <si>
    <t>KMX</t>
  </si>
  <si>
    <t>IR ADV 4545i III</t>
  </si>
  <si>
    <t>2QD</t>
  </si>
  <si>
    <t>imagePROGRAF TM-300</t>
  </si>
  <si>
    <t>BAC</t>
  </si>
  <si>
    <t>IR ADV DX C357iF</t>
  </si>
  <si>
    <t>4QV</t>
  </si>
  <si>
    <t>IR ADV 525iF III</t>
  </si>
  <si>
    <t>2WQ</t>
  </si>
  <si>
    <t>LBP 6030w</t>
  </si>
  <si>
    <t>NTG</t>
  </si>
  <si>
    <t>SSP1-ELITE155</t>
  </si>
  <si>
    <t>IR ADV 4525i II</t>
  </si>
  <si>
    <t>XWH</t>
  </si>
  <si>
    <t>QLA</t>
  </si>
  <si>
    <t>IR ADV DX 4825i</t>
  </si>
  <si>
    <t>4TX</t>
  </si>
  <si>
    <t>RRB</t>
  </si>
  <si>
    <t>Quantum 21</t>
  </si>
  <si>
    <t>IR ADV DX C3725i</t>
  </si>
  <si>
    <t>2UA</t>
  </si>
  <si>
    <t>IR ADV 8585i</t>
  </si>
  <si>
    <t>XQZ</t>
  </si>
  <si>
    <t>IR ADV 6565i</t>
  </si>
  <si>
    <t>XNF</t>
  </si>
  <si>
    <t>2VD</t>
  </si>
  <si>
    <t>imageCLASS MF753Cdw</t>
  </si>
  <si>
    <t>3WB</t>
  </si>
  <si>
    <t>IR ADV C5030</t>
  </si>
  <si>
    <t>GNG</t>
  </si>
  <si>
    <t>K3A</t>
  </si>
  <si>
    <t>S21</t>
  </si>
  <si>
    <t>TM300</t>
  </si>
  <si>
    <t>BAL</t>
  </si>
  <si>
    <t>TellerScan TS240</t>
  </si>
  <si>
    <t>2KJ</t>
  </si>
  <si>
    <t>Kisan K6</t>
  </si>
  <si>
    <t>K23</t>
  </si>
  <si>
    <t>QUANTUM 21</t>
  </si>
  <si>
    <t>S22</t>
  </si>
  <si>
    <t>IR ADV DX 6780i</t>
  </si>
  <si>
    <t>27P</t>
  </si>
  <si>
    <t>UMV</t>
  </si>
  <si>
    <t>IR ADV C5540I</t>
  </si>
  <si>
    <t>WHG</t>
  </si>
  <si>
    <t>WXE</t>
  </si>
  <si>
    <t>IR ADV C5560i III</t>
  </si>
  <si>
    <t>2HT</t>
  </si>
  <si>
    <t>25Z</t>
  </si>
  <si>
    <t>IR ADV DX 6860i</t>
  </si>
  <si>
    <t>3MJ</t>
  </si>
  <si>
    <t>HP LAPTOP 15</t>
  </si>
  <si>
    <t>CND</t>
  </si>
  <si>
    <t>imageCLASS MF729CDW</t>
  </si>
  <si>
    <t>TWU</t>
  </si>
  <si>
    <t>3FY</t>
  </si>
  <si>
    <t>4BA</t>
  </si>
  <si>
    <t>IR 1435iF+</t>
  </si>
  <si>
    <t>YDB</t>
  </si>
  <si>
    <t>3CE</t>
  </si>
  <si>
    <t>IR ADV DX C5860i</t>
  </si>
  <si>
    <t>2XK</t>
  </si>
  <si>
    <t>IR ADV DX 6980i</t>
  </si>
  <si>
    <t>3UE</t>
  </si>
  <si>
    <t>IR ADV DX C3835i</t>
  </si>
  <si>
    <t>3FX</t>
  </si>
  <si>
    <t>IR ADV DX 4945i</t>
  </si>
  <si>
    <t>4NS</t>
  </si>
  <si>
    <t>IR ADV 8505i III</t>
  </si>
  <si>
    <t>YGS</t>
  </si>
  <si>
    <t>YFF</t>
  </si>
  <si>
    <t>iR ADV DX 8705i</t>
  </si>
  <si>
    <t>KRH</t>
  </si>
  <si>
    <t>PIXMA G3270</t>
  </si>
  <si>
    <t>4DE</t>
  </si>
  <si>
    <t>imageCLASS MF455dw</t>
  </si>
  <si>
    <t>3RD</t>
  </si>
  <si>
    <t>imageCLASS MF656Cdw</t>
  </si>
  <si>
    <t>YKQ</t>
  </si>
  <si>
    <t>imagePROGRAF PRO-4100</t>
  </si>
  <si>
    <t>BAP</t>
  </si>
  <si>
    <t>4TA</t>
  </si>
  <si>
    <t>IR ADV 500iF</t>
  </si>
  <si>
    <t>QLL</t>
  </si>
  <si>
    <t>4TK</t>
  </si>
  <si>
    <t>XLN</t>
  </si>
  <si>
    <t>MAXIFY MB5410</t>
  </si>
  <si>
    <t>AEN</t>
  </si>
  <si>
    <t>IR C250</t>
  </si>
  <si>
    <t>QWR</t>
  </si>
  <si>
    <t>IR ADV DX C478iF</t>
  </si>
  <si>
    <t>3LN</t>
  </si>
  <si>
    <t>IIR ADV C5550 I</t>
  </si>
  <si>
    <t>WXD</t>
  </si>
  <si>
    <t>Canon DR</t>
  </si>
  <si>
    <t>EX3</t>
  </si>
  <si>
    <t>MF65CDW</t>
  </si>
  <si>
    <t>4KQ</t>
  </si>
  <si>
    <t>IR ADV 6555i III</t>
  </si>
  <si>
    <t>2LP</t>
  </si>
  <si>
    <t>Digital Check</t>
  </si>
  <si>
    <t>DS 200</t>
  </si>
  <si>
    <t>DS2</t>
  </si>
  <si>
    <t>44Q</t>
  </si>
  <si>
    <t>MF 8350</t>
  </si>
  <si>
    <t>HXY</t>
  </si>
  <si>
    <t>IR  1325iF</t>
  </si>
  <si>
    <t>RMB</t>
  </si>
  <si>
    <t>PXK</t>
  </si>
  <si>
    <t>N24</t>
  </si>
  <si>
    <t>Maxify GX4010</t>
  </si>
  <si>
    <t>KNW</t>
  </si>
  <si>
    <t>TX 4000</t>
  </si>
  <si>
    <t>BHH</t>
  </si>
  <si>
    <t>CA-190</t>
  </si>
  <si>
    <t>JLY</t>
  </si>
  <si>
    <t>IR ADV 5550 III</t>
  </si>
  <si>
    <t>2JH</t>
  </si>
  <si>
    <t>32U</t>
  </si>
  <si>
    <t>IR ADV DX C259iF</t>
  </si>
  <si>
    <t>4JB</t>
  </si>
  <si>
    <t>IR ADV C5540i II</t>
  </si>
  <si>
    <t>XUP</t>
  </si>
  <si>
    <t>35B</t>
  </si>
  <si>
    <t>IR 1023</t>
  </si>
  <si>
    <t>THY</t>
  </si>
  <si>
    <t>IR ADV C5235A</t>
  </si>
  <si>
    <t>IR ADV 4045</t>
  </si>
  <si>
    <t>HRN</t>
  </si>
  <si>
    <t>QLK</t>
  </si>
  <si>
    <t>IR ADV DX C359iF</t>
  </si>
  <si>
    <t>4HU</t>
  </si>
  <si>
    <t>PIXMA G7020</t>
  </si>
  <si>
    <t>KML</t>
  </si>
  <si>
    <t>IR ADV C3530i</t>
  </si>
  <si>
    <t>XT0</t>
  </si>
  <si>
    <t>MF 751cdw</t>
  </si>
  <si>
    <t>3WG</t>
  </si>
  <si>
    <t>2TP</t>
  </si>
  <si>
    <t>IR 1025IF</t>
  </si>
  <si>
    <t>DRL</t>
  </si>
  <si>
    <t>EPSON BRIGHTLITE 1485Fi+</t>
  </si>
  <si>
    <t>X97</t>
  </si>
  <si>
    <t>GNW</t>
  </si>
  <si>
    <t>WHE</t>
  </si>
  <si>
    <t>imageCLASS MF653cdw</t>
  </si>
  <si>
    <t>YKV</t>
  </si>
  <si>
    <t>imageCLASS MF644cdw</t>
  </si>
  <si>
    <t>3QK</t>
  </si>
  <si>
    <t>MF735cdw</t>
  </si>
  <si>
    <t>WTL</t>
  </si>
  <si>
    <t>IR ADV 6555i</t>
  </si>
  <si>
    <t>SKA</t>
  </si>
  <si>
    <t>DR-G2110</t>
  </si>
  <si>
    <t>JG3</t>
  </si>
  <si>
    <t>2XX</t>
  </si>
  <si>
    <t>G3110</t>
  </si>
  <si>
    <t>KNG</t>
  </si>
  <si>
    <t>EPSON T88-V</t>
  </si>
  <si>
    <t>MXD</t>
  </si>
  <si>
    <t>919</t>
  </si>
  <si>
    <t>512</t>
  </si>
  <si>
    <t>712</t>
  </si>
  <si>
    <t>922</t>
  </si>
  <si>
    <t>709</t>
  </si>
  <si>
    <t>IR ADV C5035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</si>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</sst>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h:mm\ AM/PM;@"/>
    <numFmt numFmtId="165" formatCode="[$-409]d\-mmm\-yy;@"/>
    <numFmt numFmtId="166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left"/>
    </xf>
    <xf numFmtId="17" fontId="1" fillId="0" borderId="1" xfId="0" applyNumberFormat="1" applyFont="1" applyBorder="1" applyAlignment="1">
      <alignment horizontal="left"/>
    </xf>
    <xf numFmtId="166" fontId="0" fillId="0" borderId="0" xfId="0" applyNumberFormat="1"/>
    <xf numFmtId="3" fontId="0" fillId="0" borderId="0" xfId="0" applyNumberFormat="1"/>
    <xf numFmtId="0" fontId="1" fillId="0" borderId="0" xfId="0" applyFont="1"/>
    <xf numFmtId="0" fontId="1" fillId="0" borderId="6" xfId="0" applyFont="1" applyBorder="1"/>
    <xf numFmtId="0" fontId="1" fillId="0" borderId="5" xfId="0" applyFont="1" applyBorder="1"/>
    <xf numFmtId="164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0" borderId="0" xfId="0" pivotButton="1"/>
    <xf numFmtId="10" fontId="0" fillId="0" borderId="0" xfId="0" applyNumberFormat="1"/>
    <xf numFmtId="3" fontId="0" fillId="0" borderId="0" xfId="0" applyNumberFormat="1" applyAlignment="1">
      <alignment wrapText="1"/>
    </xf>
    <xf numFmtId="18" fontId="0" fillId="0" borderId="0" xfId="0" applyNumberFormat="1"/>
    <xf numFmtId="165" fontId="0" fillId="0" borderId="0" xfId="0" applyNumberFormat="1" applyAlignment="1">
      <alignment horizontal="left"/>
    </xf>
    <xf numFmtId="2" fontId="0" fillId="0" borderId="0" xfId="0" applyNumberFormat="1"/>
    <xf numFmtId="166" fontId="0" fillId="0" borderId="0" xfId="0" applyNumberFormat="1" applyAlignment="1">
      <alignment horizontal="center"/>
    </xf>
    <xf numFmtId="166" fontId="3" fillId="0" borderId="0" xfId="0" applyNumberFormat="1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applyNumberFormat="1" numFmtId="3" fontId="0" fillId="0" borderId="0" xfId="0"/>
  </cellXfs>
  <cellStyles count="1">
    <cellStyle name="Normal" xfId="0" builtinId="0"/>
  </cellStyles>
  <dxfs count="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.00"/>
      <alignment horizontal="center" vertical="bottom" textRotation="0" wrapText="0" indent="0" justifyLastLine="0" shrinkToFit="0" readingOrder="0"/>
    </dxf>
    <dxf>
      <numFmt numFmtId="165" formatCode="[$-409]d\-mmm\-yy;@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6" formatCode="&quot;$&quot;#,##0.00"/>
    </dxf>
    <dxf>
      <numFmt numFmtId="164" formatCode="[$-409]h:mm\ AM/PM;@"/>
    </dxf>
    <dxf>
      <numFmt numFmtId="164" formatCode="[$-409]h:mm\ AM/P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\-yy;@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6" formatCode="&quot;$&quot;#,##0.00"/>
      <alignment horizontal="center" vertical="bottom" textRotation="0" wrapText="0" indent="0" justifyLastLine="0" shrinkToFit="0" readingOrder="0"/>
    </dxf>
    <dxf>
      <numFmt numFmtId="165" formatCode="[$-409]d\-mmm\-yy;@"/>
    </dxf>
    <dxf>
      <alignment horizontal="center" vertical="bottom" textRotation="0" wrapText="0" indent="0" justifyLastLine="0" shrinkToFit="0" readingOrder="0"/>
    </dxf>
    <dxf>
      <numFmt numFmtId="166" formatCode="&quot;$&quot;#,##0.0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6" formatCode="&quot;$&quot;#,##0.00"/>
    </dxf>
    <dxf>
      <alignment horizontal="general" vertical="bottom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numFmt numFmtId="2" formatCode="0.00"/>
    </dxf>
    <dxf>
      <numFmt numFmtId="164" formatCode="[$-409]h:mm\ AM/PM;@"/>
    </dxf>
    <dxf>
      <numFmt numFmtId="164" formatCode="[$-409]h:mm\ AM/PM;@"/>
    </dxf>
    <dxf>
      <numFmt numFmtId="3" formatCode="#,##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\-yy;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[template-native.xlsm]Sheet2!PivotTable7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Payment Breakdown of</a:t>
            </a:r>
            <a:r>
              <a:rPr lang="en-US" baseline="0"/>
              <a:t> Work Orders for Decermber 2021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2">
              <a:shade val="58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2">
              <a:shade val="86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</c:pivotFmt>
      <c:pivotFmt>
        <c:idx val="4"/>
        <c:spPr>
          <a:solidFill>
            <a:schemeClr val="accent2">
              <a:shade val="86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2">
              <a:tint val="58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2">
              <a:shade val="58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effectLst/>
          </c:spPr>
          <c:dPt>
            <c:idx val="0"/>
            <c:bubble3D val="0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D03-4613-A9E0-8A9F40511CAE}"/>
              </c:ext>
            </c:extLst>
          </c:dPt>
          <c:dPt>
            <c:idx val="1"/>
            <c:bubble3D val="0"/>
            <c:spPr>
              <a:solidFill>
                <a:schemeClr val="accent2">
                  <a:tint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D03-4613-A9E0-8A9F40511CAE}"/>
              </c:ext>
            </c:extLst>
          </c:dPt>
          <c:dPt>
            <c:idx val="2"/>
            <c:bubble3D val="0"/>
            <c:spPr>
              <a:solidFill>
                <a:schemeClr val="accent2">
                  <a:tint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D03-4613-A9E0-8A9F40511CAE}"/>
              </c:ext>
            </c:extLst>
          </c:dPt>
          <c:dPt>
            <c:idx val="3"/>
            <c:bubble3D val="0"/>
            <c:spPr>
              <a:solidFill>
                <a:schemeClr val="accent2">
                  <a:tint val="9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D03-4613-A9E0-8A9F40511CA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Sheet2!$A$4:$A$5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Sheet2!$B$4:$B$5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D3-4A44-A1F8-4B8D5D4FF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[template-native.xlsm]Service Type Dist.!PivotTable9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Service Type Distribution for January 2025.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'Service Type Dist.'!$B$3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'Service Type Dist.'!$A$4:$A$5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'Service Type Dist.'!$B$4:$B$5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F-4ACC-8638-D761FCDF1F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12826047"/>
        <c:axId val="2112825215"/>
      </c:barChart>
      <c:catAx>
        <c:axId val="21128260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Service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825215"/>
        <c:crosses val="autoZero"/>
        <c:auto val="1"/>
        <c:lblAlgn val="ctr"/>
        <c:lblOffset val="100"/>
        <c:noMultiLvlLbl val="0"/>
      </c:catAx>
      <c:valAx>
        <c:axId val="211282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Work Orders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826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[template-native.xlsm]SLA Dist.!PivotTable10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SLA Type Distribution for February 2025.</a:t>
            </a:r>
          </a:p>
        </c:rich>
      </c:tx>
      <c:layout>
        <c:manualLayout>
          <c:xMode val="edge"/>
          <c:yMode val="edge"/>
          <c:x val="0.19616666666666668"/>
          <c:y val="2.21274424030329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'SLA Dist.'!$B$3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'SLA Dist.'!$A$4:$A$5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'SLA Dist.'!$B$4:$B$5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0F-471A-824D-DDB502A89A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54905983"/>
        <c:axId val="1954472271"/>
      </c:barChart>
      <c:catAx>
        <c:axId val="1754905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SLA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472271"/>
        <c:crosses val="autoZero"/>
        <c:auto val="1"/>
        <c:lblAlgn val="ctr"/>
        <c:lblOffset val="100"/>
        <c:noMultiLvlLbl val="0"/>
      </c:catAx>
      <c:valAx>
        <c:axId val="1954472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work Orders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905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[template-native.xlsm]WO Dist. by Tech!PivotTable1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Work Order distribution by technician for January 2025.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'WO Dist. by Tech'!$B$3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'WO Dist. by Tech'!$A$4:$A$5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'WO Dist. by Tech'!$B$4:$B$5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E6B-49DA-A61D-A928587EE7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2311576"/>
        <c:axId val="572311904"/>
      </c:barChart>
      <c:catAx>
        <c:axId val="572311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Technician Name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11904"/>
        <c:crosses val="autoZero"/>
        <c:auto val="1"/>
        <c:lblAlgn val="ctr"/>
        <c:lblOffset val="100"/>
        <c:noMultiLvlLbl val="0"/>
      </c:catAx>
      <c:valAx>
        <c:axId val="57231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No. of Work Orders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1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[template-native.xlsm]Revenue Breakdown!PivotTable1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Breakdown</a:t>
            </a:r>
            <a:r>
              <a:rPr lang="en-US" baseline="0"/>
              <a:t> of Work Orders for January 2025.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'Revenue Breakdown'!$B$3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3F3-49C7-91BC-F58FEA8E31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73-42A4-9754-0B2571E30B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3F3-49C7-91BC-F58FEA8E31C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73-42A4-9754-0B2571E30B44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'Revenue Breakdown'!$A$4:$A$5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'Revenue Breakdown'!$B$4:$B$5</c:f>
              <c:numCache>
                <c:formatCode>"$"#,##0.00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3F3-49C7-91BC-F58FEA8E31C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[template-native.xlsm]Work Order Status!PivotTable3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 Order Status for January 2025.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'Work Order Status'!$B$3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'Work Order Status'!$A$4:$A$5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'Work Order Status'!$B$4:$B$5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5-4DF6-ADC0-CE10D7F832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18703312"/>
        <c:axId val="618700360"/>
      </c:barChart>
      <c:catAx>
        <c:axId val="61870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00360"/>
        <c:crosses val="autoZero"/>
        <c:auto val="1"/>
        <c:lblAlgn val="ctr"/>
        <c:lblOffset val="100"/>
        <c:noMultiLvlLbl val="0"/>
      </c:catAx>
      <c:valAx>
        <c:axId val="61870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0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[template-native.xlsm]Weekly WO Dist.!PivotTable2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 Order Distribution for Week</a:t>
            </a:r>
            <a:r>
              <a:rPr lang="en-US" baseline="0"/>
              <a:t> 1 </a:t>
            </a:r>
            <a:r>
              <a:rPr lang="en-US"/>
              <a:t>of February 2025.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'Weekly WO Dist.'!$B$3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'Weekly WO Dist.'!$A$4:$A$6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'Weekly WO Dist.'!$B$4:$B$6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A3D-40C6-A46B-CC707D0983D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32073192"/>
        <c:axId val="632077456"/>
      </c:barChart>
      <c:catAx>
        <c:axId val="632073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077456"/>
        <c:crosses val="autoZero"/>
        <c:auto val="1"/>
        <c:lblAlgn val="ctr"/>
        <c:lblOffset val="100"/>
        <c:noMultiLvlLbl val="0"/>
      </c:catAx>
      <c:valAx>
        <c:axId val="63207745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32073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[template-native.xlsm]Payment Breakdown!PivotTable2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Payment Breakdown</a:t>
            </a:r>
            <a:r>
              <a:rPr lang="en-US" baseline="0"/>
              <a:t> of Work Orders for January 2025.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'Payment Breakdown'!$B$3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'Payment Breakdown'!$A$4:$A$5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'Payment Breakdown'!$B$4:$B$5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CE-44DE-9DA0-3F347C881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108456"/>
        <c:axId val="573109440"/>
      </c:barChart>
      <c:catAx>
        <c:axId val="57310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109440"/>
        <c:crosses val="autoZero"/>
        <c:auto val="1"/>
        <c:lblAlgn val="ctr"/>
        <c:lblOffset val="100"/>
        <c:noMultiLvlLbl val="0"/>
      </c:catAx>
      <c:valAx>
        <c:axId val="57310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10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7</xdr:row>
      <xdr:rowOff>71437</xdr:rowOff>
    </xdr:from>
    <xdr:to>
      <xdr:col>12</xdr:col>
      <xdr:colOff>228600</xdr:colOff>
      <xdr:row>21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649324-BDDD-4D4F-81B7-5709D7A9B3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7</xdr:row>
      <xdr:rowOff>71437</xdr:rowOff>
    </xdr:from>
    <xdr:to>
      <xdr:col>12</xdr:col>
      <xdr:colOff>228600</xdr:colOff>
      <xdr:row>21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58B938-7562-4BDC-B7E5-D1C629C84A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7</xdr:row>
      <xdr:rowOff>71437</xdr:rowOff>
    </xdr:from>
    <xdr:to>
      <xdr:col>12</xdr:col>
      <xdr:colOff>228600</xdr:colOff>
      <xdr:row>21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57A78D-937C-484B-BC6D-A29D25F009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3</xdr:row>
      <xdr:rowOff>14287</xdr:rowOff>
    </xdr:from>
    <xdr:to>
      <xdr:col>10</xdr:col>
      <xdr:colOff>333375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D7AE0B-A6A1-446E-97DD-AFD7AEFEFD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205740</xdr:colOff>
      <xdr:row>3</xdr:row>
      <xdr:rowOff>31432</xdr:rowOff>
    </xdr:from>
    <xdr:to>
      <xdr:col>10</xdr:col>
      <xdr:colOff>171450</xdr:colOff>
      <xdr:row>18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163EE4-C66C-B7C8-2D84-7151C3BC27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3</xdr:row>
      <xdr:rowOff>33337</xdr:rowOff>
    </xdr:from>
    <xdr:to>
      <xdr:col>10</xdr:col>
      <xdr:colOff>333375</xdr:colOff>
      <xdr:row>17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3FC843-DEF7-B6CD-45EB-6447B497CD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3</xdr:row>
      <xdr:rowOff>33337</xdr:rowOff>
    </xdr:from>
    <xdr:to>
      <xdr:col>10</xdr:col>
      <xdr:colOff>333375</xdr:colOff>
      <xdr:row>17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D3442-A76E-F304-1D26-C3D04BECBE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243840</xdr:colOff>
      <xdr:row>7</xdr:row>
      <xdr:rowOff>22860</xdr:rowOff>
    </xdr:from>
    <xdr:to>
      <xdr:col>12</xdr:col>
      <xdr:colOff>556260</xdr:colOff>
      <xdr:row>22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1577AD-E030-A316-99BE-1597951B90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3158</xdr:colOff>
      <xdr:row>0</xdr:row>
      <xdr:rowOff>67970</xdr:rowOff>
    </xdr:from>
    <xdr:to>
      <xdr:col>2</xdr:col>
      <xdr:colOff>18781</xdr:colOff>
      <xdr:row>1</xdr:row>
      <xdr:rowOff>9587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DA856D9-48CF-445A-A5D1-4ED45866A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58" y="67970"/>
          <a:ext cx="1139573" cy="79886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38877</xdr:colOff>
      <xdr:row>0</xdr:row>
      <xdr:rowOff>64795</xdr:rowOff>
    </xdr:from>
    <xdr:to>
      <xdr:col>2</xdr:col>
      <xdr:colOff>54500</xdr:colOff>
      <xdr:row>1</xdr:row>
      <xdr:rowOff>3237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BE6FEB-7541-442E-9A8B-DEFB716D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77" y="62890"/>
          <a:ext cx="1124333" cy="79759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TimoT" refreshedDate="46304.832082870373" missingItemsLimit="0" createdVersion="7" refreshedVersion="8" minRefreshableVersion="3" recordCount="1" xr:uid="{3E7AE3CA-27F0-41EC-B3C5-E0028240E767}">
  <cacheSource type="worksheet">
    <worksheetSource name="Table2"/>
  </cacheSource>
  <cacheFields count="25">
    <cacheField name="No." numFmtId="0">
      <sharedItems containsNonDate="0" containsString="0" containsBlank="1"/>
    </cacheField>
    <cacheField name="WOR" numFmtId="0">
      <sharedItems containsNonDate="0" containsString="0" containsBlank="1"/>
    </cacheField>
    <cacheField name="Date" numFmtId="165">
      <sharedItems containsNonDate="0" containsString="0" containsBlank="1" count="1">
        <m/>
      </sharedItems>
    </cacheField>
    <cacheField name="Customer" numFmtId="0">
      <sharedItems containsNonDate="0" containsString="0" containsBlank="1"/>
    </cacheField>
    <cacheField name="Location" numFmtId="0">
      <sharedItems containsNonDate="0" containsString="0" containsBlank="1"/>
    </cacheField>
    <cacheField name="Service Type" numFmtId="0">
      <sharedItems containsNonDate="0" containsString="0" containsBlank="1" count="1">
        <m/>
      </sharedItems>
    </cacheField>
    <cacheField name="SLA Type" numFmtId="0">
      <sharedItems containsNonDate="0" containsString="0" containsBlank="1" count="1">
        <m/>
      </sharedItems>
    </cacheField>
    <cacheField name="Model No." numFmtId="0">
      <sharedItems containsNonDate="0" containsString="0" containsBlank="1"/>
    </cacheField>
    <cacheField name="Serial No." numFmtId="0">
      <sharedItems containsNonDate="0" containsString="0" containsBlank="1"/>
    </cacheField>
    <cacheField name="Copycount" numFmtId="3">
      <sharedItems containsNonDate="0" containsString="0" containsBlank="1"/>
    </cacheField>
    <cacheField name="Technician Assigned" numFmtId="0">
      <sharedItems containsNonDate="0" containsString="0" containsBlank="1" count="1">
        <m/>
      </sharedItems>
    </cacheField>
    <cacheField name="Secondary Tech" numFmtId="0">
      <sharedItems containsNonDate="0" containsString="0" containsBlank="1"/>
    </cacheField>
    <cacheField name="Arrival Time" numFmtId="164">
      <sharedItems containsNonDate="0" containsString="0" containsBlank="1"/>
    </cacheField>
    <cacheField name="Departure Time" numFmtId="164">
      <sharedItems containsNonDate="0" containsString="0" containsBlank="1"/>
    </cacheField>
    <cacheField name="Time Taken" numFmtId="2">
      <sharedItems containsNonDate="0" containsString="0" containsBlank="1"/>
    </cacheField>
    <cacheField name="Parts Required" numFmtId="0">
      <sharedItems containsNonDate="0" containsString="0" containsBlank="1"/>
    </cacheField>
    <cacheField name="Part  No." numFmtId="0">
      <sharedItems containsNonDate="0" containsString="0" containsBlank="1"/>
    </cacheField>
    <cacheField name="Description" numFmtId="0">
      <sharedItems containsNonDate="0" containsString="0" containsBlank="1"/>
    </cacheField>
    <cacheField name="QTY" numFmtId="0">
      <sharedItems containsNonDate="0" containsString="0" containsBlank="1"/>
    </cacheField>
    <cacheField name="IRO" numFmtId="0">
      <sharedItems containsNonDate="0" containsString="0" containsBlank="1"/>
    </cacheField>
    <cacheField name="Payment Method" numFmtId="0">
      <sharedItems containsNonDate="0" containsString="0" containsBlank="1" count="1">
        <m/>
      </sharedItems>
    </cacheField>
    <cacheField name="Revenue ($)" numFmtId="166">
      <sharedItems containsNonDate="0" containsString="0" containsBlank="1"/>
    </cacheField>
    <cacheField name="Job Status" numFmtId="0">
      <sharedItems containsNonDate="0" containsString="0" containsBlank="1" count="1">
        <m/>
      </sharedItems>
    </cacheField>
    <cacheField name="FTF" numFmtId="0">
      <sharedItems containsNonDate="0" containsString="0" containsBlank="1"/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TimoT" refreshedDate="46304.832082986111" missingItemsLimit="0" createdVersion="8" refreshedVersion="8" minRefreshableVersion="3" recordCount="1" xr:uid="{6525790C-EA5D-42E4-A31F-ECF69EBA317A}">
  <cacheSource type="worksheet">
    <worksheetSource name="Table2"/>
  </cacheSource>
  <cacheFields count="25">
    <cacheField name="No." numFmtId="0">
      <sharedItems containsNonDate="0" containsString="0" containsBlank="1"/>
    </cacheField>
    <cacheField name="WOR" numFmtId="0">
      <sharedItems containsNonDate="0" containsString="0" containsBlank="1"/>
    </cacheField>
    <cacheField name="Date" numFmtId="165">
      <sharedItems containsNonDate="0" containsString="0" containsBlank="1"/>
    </cacheField>
    <cacheField name="Customer" numFmtId="0">
      <sharedItems containsNonDate="0" containsString="0" containsBlank="1" count="1">
        <m/>
      </sharedItems>
    </cacheField>
    <cacheField name="Location" numFmtId="0">
      <sharedItems containsNonDate="0" containsString="0" containsBlank="1"/>
    </cacheField>
    <cacheField name="Service Type" numFmtId="0">
      <sharedItems containsNonDate="0" containsString="0" containsBlank="1"/>
    </cacheField>
    <cacheField name="SLA Type" numFmtId="0">
      <sharedItems containsNonDate="0" containsString="0" containsBlank="1"/>
    </cacheField>
    <cacheField name="Model No." numFmtId="0">
      <sharedItems containsNonDate="0" containsString="0" containsBlank="1"/>
    </cacheField>
    <cacheField name="Serial No." numFmtId="0">
      <sharedItems containsNonDate="0" containsString="0" containsBlank="1"/>
    </cacheField>
    <cacheField name="Copycount" numFmtId="3">
      <sharedItems containsNonDate="0" containsString="0" containsBlank="1"/>
    </cacheField>
    <cacheField name="Technician Assigned" numFmtId="0">
      <sharedItems containsNonDate="0" containsString="0" containsBlank="1"/>
    </cacheField>
    <cacheField name="Secondary Tech" numFmtId="0">
      <sharedItems containsNonDate="0" containsString="0" containsBlank="1"/>
    </cacheField>
    <cacheField name="Arrival Time" numFmtId="164">
      <sharedItems containsNonDate="0" containsString="0" containsBlank="1"/>
    </cacheField>
    <cacheField name="Departure Time" numFmtId="164">
      <sharedItems containsNonDate="0" containsString="0" containsBlank="1"/>
    </cacheField>
    <cacheField name="Time Taken" numFmtId="2">
      <sharedItems containsNonDate="0" containsString="0" containsBlank="1"/>
    </cacheField>
    <cacheField name="Parts Required" numFmtId="0">
      <sharedItems containsNonDate="0" containsString="0" containsBlank="1"/>
    </cacheField>
    <cacheField name="Part  No." numFmtId="0">
      <sharedItems containsNonDate="0" containsString="0" containsBlank="1"/>
    </cacheField>
    <cacheField name="Description" numFmtId="0">
      <sharedItems containsNonDate="0" containsString="0" containsBlank="1"/>
    </cacheField>
    <cacheField name="QTY" numFmtId="0">
      <sharedItems containsNonDate="0" containsString="0" containsBlank="1"/>
    </cacheField>
    <cacheField name="IRO" numFmtId="0">
      <sharedItems containsNonDate="0" containsString="0" containsBlank="1"/>
    </cacheField>
    <cacheField name="Payment Method" numFmtId="0">
      <sharedItems containsNonDate="0" containsString="0" containsBlank="1" count="1">
        <m/>
      </sharedItems>
    </cacheField>
    <cacheField name="Revenue ($)" numFmtId="166">
      <sharedItems containsNonDate="0" containsString="0" containsBlank="1"/>
    </cacheField>
    <cacheField name="Job Status" numFmtId="0">
      <sharedItems containsNonDate="0" containsString="0" containsBlank="1"/>
    </cacheField>
    <cacheField name="FTF" numFmtId="0">
      <sharedItems containsNonDate="0" containsString="0" containsBlank="1"/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  <m/>
    <x v="0"/>
    <x v="0"/>
    <m/>
    <m/>
    <m/>
    <x v="0"/>
    <m/>
    <m/>
    <m/>
    <m/>
    <m/>
    <m/>
    <m/>
    <m/>
    <m/>
    <x v="0"/>
    <m/>
    <x v="0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x v="0"/>
    <m/>
    <m/>
    <m/>
    <m/>
    <m/>
    <m/>
    <m/>
    <m/>
    <m/>
    <m/>
    <m/>
    <m/>
    <m/>
    <m/>
    <m/>
    <m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23FF15-2D60-40FA-B0D1-40AA51411A77}" name="PivotTable7" cacheId="82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1">
  <location ref="A3:B5" firstHeaderRow="1" firstDataRow="1" firstDataCol="1"/>
  <pivotFields count="25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</pivotFields>
  <rowFields count="1">
    <field x="20"/>
  </rowFields>
  <rowItems count="2">
    <i>
      <x/>
    </i>
    <i t="grand">
      <x/>
    </i>
  </rowItems>
  <colItems count="1">
    <i/>
  </colItems>
  <dataFields count="1">
    <dataField name="Count of No." fld="0" subtotal="count" showDataAs="percentOfTotal" baseField="17" baseItem="1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5170F1-329E-48BA-80BC-9E9FE087F553}" name="PivotTable9" cacheId="82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25">
  <location ref="A3:B5" firstHeaderRow="1" firstDataRow="1" firstDataCol="1"/>
  <pivotFields count="25">
    <pivotField dataField="1"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">
    <i>
      <x/>
    </i>
    <i t="grand">
      <x/>
    </i>
  </rowItems>
  <colItems count="1">
    <i/>
  </colItems>
  <dataFields count="1">
    <dataField name="Count of No." fld="0" subtotal="count" showDataAs="percentOfCol" baseField="5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D8D1CD-7E80-42C7-967C-CC5D164CD5E9}" name="PivotTable10" cacheId="82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21">
  <location ref="A3:B5" firstHeaderRow="1" firstDataRow="1" firstDataCol="1"/>
  <pivotFields count="25">
    <pivotField dataField="1"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Count of No." fld="0" subtotal="count" showDataAs="percentOfCol" baseField="6" baseItem="0" numFmtId="1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9AA2C4-E440-4AC8-B8D1-2311BFB4BDCD}" name="PivotTable1" cacheId="82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42">
  <location ref="A3:B5" firstHeaderRow="1" firstDataRow="1" firstDataCol="1"/>
  <pivotFields count="25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2">
    <i>
      <x/>
    </i>
    <i t="grand">
      <x/>
    </i>
  </rowItems>
  <colItems count="1">
    <i/>
  </colItems>
  <dataFields count="1">
    <dataField name="Count of No." fld="0" subtotal="count" baseField="1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EC273E-085A-407A-8CBC-CC02B2BA182E}" name="PivotTable1" cacheId="82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31">
  <location ref="A3:B5" firstHeaderRow="1" firstDataRow="1" firstDataCol="1"/>
  <pivotFields count="25"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dataField="1" numFmtId="166" showAll="0"/>
    <pivotField showAll="0"/>
    <pivotField showAll="0"/>
    <pivotField showAll="0"/>
  </pivotFields>
  <rowFields count="1">
    <field x="20"/>
  </rowFields>
  <rowItems count="2">
    <i>
      <x/>
    </i>
    <i t="grand">
      <x/>
    </i>
  </rowItems>
  <colItems count="1">
    <i/>
  </colItems>
  <dataFields count="1">
    <dataField name="Sum of Revenue ($)" fld="21" baseField="0" baseItem="0" numFmtId="166"/>
  </dataFields>
  <formats count="1">
    <format dxfId="32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08A566-9D44-49E6-9CA3-C1C7C4C3B718}" name="PivotTable3" cacheId="82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77">
  <location ref="A3:B5" firstHeaderRow="1" firstDataRow="1" firstDataCol="1"/>
  <pivotFields count="25">
    <pivotField dataField="1"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axis="axisRow" showAll="0">
      <items count="2">
        <item x="0"/>
        <item t="default"/>
      </items>
    </pivotField>
    <pivotField showAll="0"/>
    <pivotField showAll="0"/>
  </pivotFields>
  <rowFields count="1">
    <field x="22"/>
  </rowFields>
  <rowItems count="2">
    <i>
      <x/>
    </i>
    <i t="grand">
      <x/>
    </i>
  </rowItems>
  <colItems count="1">
    <i/>
  </colItems>
  <dataFields count="1">
    <dataField name="Count of No." fld="0" subtotal="count" showDataAs="percentOfCol" baseField="0" baseItem="0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0728B7-FC19-4242-9E10-A36DA180D3CD}" name="PivotTable2" cacheId="82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695">
  <location ref="A3:B6" firstHeaderRow="1" firstDataRow="1" firstDataCol="1"/>
  <pivotFields count="25">
    <pivotField dataField="1" showAll="0"/>
    <pivotField showAll="0"/>
    <pivotField axis="axisRow" numFmtId="165" showAll="0" sortType="ascending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showAll="0"/>
    <pivotField showAll="0"/>
    <pivotField showAll="0"/>
  </pivotFields>
  <rowFields count="2">
    <field x="2"/>
    <field x="10"/>
  </rowFields>
  <rowItems count="3">
    <i>
      <x/>
    </i>
    <i r="1">
      <x/>
    </i>
    <i t="grand">
      <x/>
    </i>
  </rowItems>
  <colItems count="1">
    <i/>
  </colItems>
  <dataFields count="1">
    <dataField name="Count of No." fld="0" subtotal="count" baseField="0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4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4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9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9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9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C6E942-1F65-414D-9A33-B3A2ABF1DE69}" name="PivotTable2" cacheId="8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0">
  <location ref="A3:B5" firstHeaderRow="1" firstDataRow="1" firstDataCol="1"/>
  <pivotFields count="25">
    <pivotField dataField="1"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sd="0" x="0"/>
        <item t="default" sd="0"/>
      </items>
    </pivotField>
    <pivotField showAll="0"/>
    <pivotField showAll="0"/>
    <pivotField showAll="0"/>
    <pivotField showAll="0"/>
  </pivotFields>
  <rowFields count="2">
    <field x="20"/>
    <field x="3"/>
  </rowFields>
  <rowItems count="2">
    <i>
      <x/>
    </i>
    <i t="grand">
      <x/>
    </i>
  </rowItems>
  <colItems count="1">
    <i/>
  </colItems>
  <dataFields count="1">
    <dataField name="Count of No." fld="0" subtotal="count" showDataAs="percentOfCol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A54E02-D05F-465D-9AB6-40FA04A0A075}" name="Table2" displayName="Table2" ref="A6:Y7" insertRow="1" totalsRowShown="0" headerRowDxfId="48">
  <autoFilter ref="A6:Y7" xr:uid="{B6A54E02-D05F-465D-9AB6-40FA04A0A075}"/>
  <sortState xmlns:xlrd2="http://schemas.microsoft.com/office/spreadsheetml/2017/richdata2" ref="A7:Y7">
    <sortCondition ref="A6:A7"/>
  </sortState>
  <tableColumns count="25">
    <tableColumn id="1" xr3:uid="{06E33832-EFAF-462A-AD07-6D91FD403506}" name="No." dataDxfId="47"/>
    <tableColumn id="20" xr3:uid="{A09DBB31-0536-4AA0-89B3-1A442E3B5D89}" name="WOR" dataDxfId="46"/>
    <tableColumn id="2" xr3:uid="{C3E73C40-871C-4F2E-AA06-3C3298153DA7}" name="Date" dataDxfId="45"/>
    <tableColumn id="3" xr3:uid="{82FC0C25-8C06-499B-8E0A-3437307F3BCB}" name="Customer" dataDxfId="44"/>
    <tableColumn id="4" xr3:uid="{BA028083-1606-4F24-9030-FA15459DCD6A}" name="Location" dataDxfId="43"/>
    <tableColumn id="5" xr3:uid="{FA63CE54-D4B0-422D-B97C-B0FFB2ACD8D3}" name="Service Type"/>
    <tableColumn id="15" xr3:uid="{83A83FD8-1DFE-4901-925F-EA908B775DF3}" name="SLA Type"/>
    <tableColumn id="6" xr3:uid="{83851F30-620F-436B-9671-724339FF2466}" name="Model No."/>
    <tableColumn id="7" xr3:uid="{8F62879A-64D3-407B-AED2-A3813CF0E9E9}" name="Serial No."/>
    <tableColumn id="19" xr3:uid="{6FB1A8FC-EF72-4FF4-9F24-BB61E12EE9BE}" name="Copycount" dataDxfId="42"/>
    <tableColumn id="8" xr3:uid="{E31E7E57-F078-4D0F-B394-C814AE0290B9}" name="Technician Assigned"/>
    <tableColumn id="25" xr3:uid="{EBFDBC9E-EA0F-4DF5-87DF-AF5E429F98A8}" name="Secondary Tech"/>
    <tableColumn id="9" xr3:uid="{FC7E4848-0D5E-42A7-B489-F099FB065065}" name="Arrival Time" dataDxfId="41"/>
    <tableColumn id="10" xr3:uid="{AF8068D7-4954-412A-BFE4-682DB4C6AF41}" name="Departure Time" dataDxfId="40"/>
    <tableColumn id="23" xr3:uid="{AF2D5B05-FAB8-408C-9840-4CE7B3311F69}" name="Time Taken" dataDxfId="39"/>
    <tableColumn id="11" xr3:uid="{7A9EE5F2-8C25-4075-95B7-76EEAF78335D}" name="Parts Required"/>
    <tableColumn id="12" xr3:uid="{545C8578-B26B-4295-B42D-113DE90274FB}" name="Part  No."/>
    <tableColumn id="18" xr3:uid="{A9A739F5-8AD6-41D0-8A3A-CD0F8BB46C32}" name="Description"/>
    <tableColumn id="14" xr3:uid="{FE8CC930-424E-4E98-90D8-9A6367AA9981}" name="QTY" dataDxfId="38"/>
    <tableColumn id="22" xr3:uid="{93AC1885-5F1C-44FC-A33D-AFF92C820ACC}" name="IRO" dataDxfId="37"/>
    <tableColumn id="21" xr3:uid="{CCC7DB5B-67D5-4430-82BE-447B460C017C}" name="Payment Method"/>
    <tableColumn id="17" xr3:uid="{837E1CA8-0DD1-4CE7-A664-A4D415F435EF}" name="Revenue ($)" dataDxfId="36"/>
    <tableColumn id="16" xr3:uid="{09CF4B90-06C6-43A6-82B6-68854B0C33A4}" name="Job Status" dataDxfId="35"/>
    <tableColumn id="24" xr3:uid="{74A60CAF-65E0-4672-9C1C-9778AE9F0116}" name="FTF" dataDxfId="34"/>
    <tableColumn id="13" xr3:uid="{A11D836B-7B49-43DC-9A2C-8BD24C4FF1BB}" name="Comments" dataDxfId="3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565C52-B71D-47EC-979D-6DD5ABAC1560}" name="Table3" displayName="Table3" ref="A4:F7" totalsRowCount="1">
  <autoFilter ref="A4:F6" xr:uid="{12565C52-B71D-47EC-979D-6DD5ABAC1560}"/>
  <sortState xmlns:xlrd2="http://schemas.microsoft.com/office/spreadsheetml/2017/richdata2" ref="A5:F6">
    <sortCondition ref="B4:B6"/>
  </sortState>
  <tableColumns count="6">
    <tableColumn id="1" xr3:uid="{CB788589-A112-43D5-B7E9-F5B35670B6CE}" name="No." dataDxfId="31" totalsRowDxfId="18"/>
    <tableColumn id="2" xr3:uid="{E44061F2-F5F0-4FE2-8AAD-A47170575347}" name="Date" dataDxfId="30" totalsRowDxfId="17"/>
    <tableColumn id="3" xr3:uid="{E1C40F0F-384E-4B75-9F08-F7AD7FA808D5}" name="Customer"/>
    <tableColumn id="4" xr3:uid="{8BF5A83B-F0FA-4E89-9B8A-FC9AD8CAA911}" name="Location"/>
    <tableColumn id="5" xr3:uid="{4DD5D4B3-D5C4-4B6D-AE37-B94DBB655491}" name="Revenue ($)" totalsRowFunction="sum" dataDxfId="29" totalsRowDxfId="16"/>
    <tableColumn id="6" xr3:uid="{0C401483-7B07-4471-ABD2-D7EB2E92CC48}" name="Job Status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718B20-AE68-47EA-AC86-62786AE0F219}" name="Table22" displayName="Table22" ref="A6:V7" insertRow="1" totalsRowShown="0" headerRowDxfId="28">
  <autoFilter ref="A6:V7" xr:uid="{B6A54E02-D05F-465D-9AB6-40FA04A0A075}"/>
  <sortState xmlns:xlrd2="http://schemas.microsoft.com/office/spreadsheetml/2017/richdata2" ref="A7:V201">
    <sortCondition ref="C6:C238"/>
  </sortState>
  <tableColumns count="22">
    <tableColumn id="1" xr3:uid="{7607205F-D992-4461-A184-AD0C43077CCB}" name="No."/>
    <tableColumn id="20" xr3:uid="{1B93C367-7E10-4426-8623-872C93A7786B}" name="WOR" dataDxfId="27"/>
    <tableColumn id="2" xr3:uid="{EC3236CB-528C-42A9-A0FC-4BD943A23A43}" name="Date" dataDxfId="26"/>
    <tableColumn id="3" xr3:uid="{FCA15203-7A61-410D-84BA-221766A364E1}" name="Customer" dataDxfId="25"/>
    <tableColumn id="4" xr3:uid="{7350F281-2881-4ED6-B620-D722DD443175}" name="Location" dataDxfId="24"/>
    <tableColumn id="5" xr3:uid="{4C64295E-98EC-4C02-9E92-5BA758CF5E55}" name="Service Type"/>
    <tableColumn id="15" xr3:uid="{EC85271D-09CA-4350-97DD-DCE7E68333B7}" name="SLA Type"/>
    <tableColumn id="6" xr3:uid="{11BA2A12-3A7D-40F4-8896-45E183F639FD}" name="Model No."/>
    <tableColumn id="7" xr3:uid="{CF65647A-BD00-4EDC-90CE-88C6C6182750}" name="Serial No."/>
    <tableColumn id="19" xr3:uid="{2D219864-D5CA-4513-BD8E-36C0393677C4}" name="Copycount"/>
    <tableColumn id="8" xr3:uid="{5129D8CF-5F55-45AD-BCC3-7B508CCB77BA}" name="Technician Assigned"/>
    <tableColumn id="9" xr3:uid="{E2837DAA-802D-478C-90A1-F0DD5299C0BB}" name="Arrival Time" dataDxfId="23"/>
    <tableColumn id="10" xr3:uid="{7DD3993D-0BB0-42C6-A4F1-D1E5801C024F}" name="Departure Time" dataDxfId="22"/>
    <tableColumn id="11" xr3:uid="{3EA77946-9E3A-44FD-8D2E-F8B4DC7A4BA6}" name="Parts Required"/>
    <tableColumn id="12" xr3:uid="{A8EF69B5-4501-4019-9119-1C1DEF0BC38D}" name="Part  No."/>
    <tableColumn id="18" xr3:uid="{D4724B11-83F8-487C-AB9A-14D07B3B7A06}" name="XUW"/>
    <tableColumn id="14" xr3:uid="{6068FF44-6B15-4123-AFDA-F9C0B88E87BD}" name="QTY"/>
    <tableColumn id="22" xr3:uid="{EB28E1D4-7F0D-4745-8D5D-48CD595E7842}" name="IRO"/>
    <tableColumn id="21" xr3:uid="{6350972D-744A-4382-8C2E-4B193A5A7DB7}" name="Payment Method"/>
    <tableColumn id="17" xr3:uid="{EE7C8047-2236-4FC6-9742-0576566E8221}" name="Revenue ($)" dataDxfId="21"/>
    <tableColumn id="16" xr3:uid="{57E38700-B2BF-444B-A6B4-DD19DAF08EDC}" name="Job Status" dataDxfId="20"/>
    <tableColumn id="13" xr3:uid="{2E5B2B1D-56DC-4921-A510-3236933DFE53}" name="Comments" dataDxfId="1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46058-0D6B-476B-93EF-A25B978C673F}">
  <sheetPr codeName="Sheet1"/>
  <dimension ref="A3:B5"/>
  <sheetViews>
    <sheetView workbookViewId="0">
      <selection activeCell="B3" sqref="B3"/>
    </sheetView>
  </sheetViews>
  <sheetFormatPr defaultRowHeight="15" x14ac:dyDescent="0.25"/>
  <cols>
    <col min="1" max="1" width="13.140625" bestFit="1" customWidth="1"/>
    <col min="2" max="2" width="12.140625" bestFit="1" customWidth="1"/>
  </cols>
  <sheetData>
    <row r="3" spans="1:2" x14ac:dyDescent="0.25">
      <c r="A3" s="14" t="s">
        <v>0</v>
      </c>
      <c r="B3" t="s">
        <v>1</v>
      </c>
    </row>
    <row r="4" spans="1:2" x14ac:dyDescent="0.25">
      <c r="A4" s="13" t="s">
        <v>308</v>
      </c>
      <c r="B4" s="15" t="e">
        <v>#DIV/0!</v>
      </c>
    </row>
    <row r="5" spans="1:2" x14ac:dyDescent="0.25">
      <c r="A5" s="13" t="s">
        <v>2</v>
      </c>
      <c r="B5" s="15" t="e">
        <v>#DIV/0!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B7403-567D-4A29-A252-3E324CD11AFF}">
  <sheetPr codeName="Sheet2"/>
  <dimension ref="A3:B5"/>
  <sheetViews>
    <sheetView topLeftCell="A4" workbookViewId="0">
      <selection activeCell="C18" sqref="C18"/>
    </sheetView>
  </sheetViews>
  <sheetFormatPr defaultRowHeight="15" x14ac:dyDescent="0.25"/>
  <cols>
    <col min="1" max="1" width="13.140625" bestFit="1" customWidth="1"/>
    <col min="2" max="2" width="12.140625" bestFit="1" customWidth="1"/>
  </cols>
  <sheetData>
    <row r="3" spans="1:2" x14ac:dyDescent="0.25">
      <c r="A3" s="14" t="s">
        <v>0</v>
      </c>
      <c r="B3" t="s">
        <v>1</v>
      </c>
    </row>
    <row r="4" spans="1:2" x14ac:dyDescent="0.25">
      <c r="A4" s="13" t="s">
        <v>308</v>
      </c>
      <c r="B4" s="15" t="e">
        <v>#DIV/0!</v>
      </c>
    </row>
    <row r="5" spans="1:2" x14ac:dyDescent="0.25">
      <c r="A5" s="13" t="s">
        <v>2</v>
      </c>
      <c r="B5" s="15" t="e">
        <v>#DIV/0!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97BE5-5164-459B-BD8A-AE3D980732F8}">
  <sheetPr codeName="Sheet3"/>
  <dimension ref="A3:B5"/>
  <sheetViews>
    <sheetView workbookViewId="0">
      <selection activeCell="P10" sqref="P10"/>
    </sheetView>
  </sheetViews>
  <sheetFormatPr defaultRowHeight="15" x14ac:dyDescent="0.25"/>
  <cols>
    <col min="1" max="1" width="13.140625" bestFit="1" customWidth="1"/>
    <col min="2" max="2" width="12.140625" bestFit="1" customWidth="1"/>
  </cols>
  <sheetData>
    <row r="3" spans="1:2" x14ac:dyDescent="0.25">
      <c r="A3" s="14" t="s">
        <v>0</v>
      </c>
      <c r="B3" t="s">
        <v>1</v>
      </c>
    </row>
    <row r="4" spans="1:2" x14ac:dyDescent="0.25">
      <c r="A4" s="13" t="s">
        <v>308</v>
      </c>
      <c r="B4" s="15" t="e">
        <v>#DIV/0!</v>
      </c>
    </row>
    <row r="5" spans="1:2" x14ac:dyDescent="0.25">
      <c r="A5" s="13" t="s">
        <v>2</v>
      </c>
      <c r="B5" s="15" t="e">
        <v>#DIV/0!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2D279-07EC-402B-A5BF-3E226EF030DF}">
  <sheetPr codeName="Sheet4"/>
  <dimension ref="A3:B5"/>
  <sheetViews>
    <sheetView workbookViewId="0">
      <selection activeCell="O6" sqref="O6"/>
    </sheetView>
  </sheetViews>
  <sheetFormatPr defaultRowHeight="15" x14ac:dyDescent="0.25"/>
  <cols>
    <col min="1" max="1" width="13.140625" bestFit="1" customWidth="1"/>
    <col min="2" max="2" width="12.140625" bestFit="1" customWidth="1"/>
  </cols>
  <sheetData>
    <row r="3" spans="1:2" x14ac:dyDescent="0.25">
      <c r="A3" s="14" t="s">
        <v>0</v>
      </c>
      <c r="B3" t="s">
        <v>1</v>
      </c>
    </row>
    <row r="4" spans="1:2" x14ac:dyDescent="0.25">
      <c r="A4" s="13" t="s">
        <v>308</v>
      </c>
      <c r="B4" s="31"/>
    </row>
    <row r="5" spans="1:2" x14ac:dyDescent="0.25">
      <c r="A5" s="13" t="s">
        <v>2</v>
      </c>
      <c r="B5" s="31"/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D2FB2-7064-4E1B-AC14-87EB18627347}">
  <sheetPr codeName="Sheet5"/>
  <dimension ref="A3:B5"/>
  <sheetViews>
    <sheetView workbookViewId="0">
      <selection activeCell="Q10" sqref="Q10"/>
    </sheetView>
  </sheetViews>
  <sheetFormatPr defaultRowHeight="15" x14ac:dyDescent="0.25"/>
  <cols>
    <col min="1" max="1" width="13.140625" bestFit="1" customWidth="1"/>
    <col min="2" max="2" width="18.5703125" bestFit="1" customWidth="1"/>
  </cols>
  <sheetData>
    <row r="3" spans="1:2" x14ac:dyDescent="0.25">
      <c r="A3" s="14" t="s">
        <v>0</v>
      </c>
      <c r="B3" t="s">
        <v>3</v>
      </c>
    </row>
    <row r="4" spans="1:2" x14ac:dyDescent="0.25">
      <c r="A4" s="13" t="s">
        <v>308</v>
      </c>
      <c r="B4" s="7"/>
    </row>
    <row r="5" spans="1:2" x14ac:dyDescent="0.25">
      <c r="A5" s="13" t="s">
        <v>2</v>
      </c>
      <c r="B5" s="7"/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887F2-F7F1-4949-A891-48B1BF4D44CC}">
  <sheetPr codeName="Sheet6"/>
  <dimension ref="A3:B5"/>
  <sheetViews>
    <sheetView workbookViewId="0">
      <selection activeCell="M9" sqref="M9"/>
    </sheetView>
  </sheetViews>
  <sheetFormatPr defaultRowHeight="15" x14ac:dyDescent="0.25"/>
  <cols>
    <col min="1" max="1" width="13.140625" bestFit="1" customWidth="1"/>
    <col min="2" max="2" width="12.140625" bestFit="1" customWidth="1"/>
  </cols>
  <sheetData>
    <row r="3" spans="1:2" x14ac:dyDescent="0.25">
      <c r="A3" s="14" t="s">
        <v>0</v>
      </c>
      <c r="B3" t="s">
        <v>1</v>
      </c>
    </row>
    <row r="4" spans="1:2" x14ac:dyDescent="0.25">
      <c r="A4" s="13" t="s">
        <v>308</v>
      </c>
      <c r="B4" s="15" t="e">
        <v>#DIV/0!</v>
      </c>
    </row>
    <row r="5" spans="1:2" x14ac:dyDescent="0.25">
      <c r="A5" s="13" t="s">
        <v>2</v>
      </c>
      <c r="B5" s="15" t="e">
        <v>#DIV/0!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02CE3-5ABE-4E24-9A0B-564E3E1A1799}">
  <sheetPr codeName="Sheet7"/>
  <dimension ref="A3:B6"/>
  <sheetViews>
    <sheetView workbookViewId="0">
      <selection activeCell="M9" sqref="M9"/>
    </sheetView>
  </sheetViews>
  <sheetFormatPr defaultRowHeight="15" x14ac:dyDescent="0.25"/>
  <cols>
    <col min="1" max="1" width="13.140625" bestFit="1" customWidth="1"/>
    <col min="2" max="2" width="12.140625" bestFit="1" customWidth="1"/>
  </cols>
  <sheetData>
    <row r="3" spans="1:2" x14ac:dyDescent="0.25">
      <c r="A3" s="14" t="s">
        <v>0</v>
      </c>
      <c r="B3" t="s">
        <v>1</v>
      </c>
    </row>
    <row r="4" spans="1:2" x14ac:dyDescent="0.25">
      <c r="A4" s="18" t="s">
        <v>308</v>
      </c>
      <c r="B4" s="31"/>
    </row>
    <row r="5" spans="1:2" x14ac:dyDescent="0.25">
      <c r="A5" s="22" t="s">
        <v>308</v>
      </c>
      <c r="B5" s="31"/>
    </row>
    <row r="6" spans="1:2" x14ac:dyDescent="0.25">
      <c r="A6" s="18" t="s">
        <v>2</v>
      </c>
      <c r="B6" s="31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F7A96-C61F-4952-B2E4-FB3824A928E8}">
  <sheetPr codeName="Sheet8"/>
  <dimension ref="A3:B5"/>
  <sheetViews>
    <sheetView workbookViewId="0">
      <selection activeCell="P11" sqref="P11"/>
    </sheetView>
  </sheetViews>
  <sheetFormatPr defaultRowHeight="15" x14ac:dyDescent="0.25"/>
  <cols>
    <col min="1" max="1" width="13.140625" bestFit="1" customWidth="1"/>
    <col min="2" max="2" width="12.140625" bestFit="1" customWidth="1"/>
  </cols>
  <sheetData>
    <row r="3" spans="1:2" x14ac:dyDescent="0.25">
      <c r="A3" s="14" t="s">
        <v>0</v>
      </c>
      <c r="B3" t="s">
        <v>1</v>
      </c>
    </row>
    <row r="4" spans="1:2" x14ac:dyDescent="0.25">
      <c r="A4" s="13" t="s">
        <v>308</v>
      </c>
      <c r="B4" s="15" t="e">
        <v>#DIV/0!</v>
      </c>
    </row>
    <row r="5" spans="1:2" x14ac:dyDescent="0.25">
      <c r="A5" s="13" t="s">
        <v>2</v>
      </c>
      <c r="B5" s="15" t="e">
        <v>#DIV/0!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95565-9BC9-4871-85ED-BC7870A5C7AB}">
  <sheetPr codeName="Sheet9">
    <pageSetUpPr fitToPage="1"/>
  </sheetPr>
  <dimension ref="A1:Y7"/>
  <sheetViews>
    <sheetView tabSelected="1" zoomScale="70" zoomScaleNormal="70" workbookViewId="0">
      <pane ySplit="6" topLeftCell="A7" activePane="bottomLeft" state="frozen"/>
      <selection pane="bottomLeft" activeCell="M13" sqref="M13"/>
    </sheetView>
  </sheetViews>
  <sheetFormatPr defaultRowHeight="15" x14ac:dyDescent="0.25"/>
  <cols>
    <col min="1" max="2" width="8" customWidth="1"/>
    <col min="3" max="3" width="15.140625" customWidth="1"/>
    <col min="4" max="4" width="25.85546875" customWidth="1"/>
    <col min="5" max="5" width="16.28515625" style="1" customWidth="1"/>
    <col min="6" max="6" width="11.42578125" bestFit="1" customWidth="1"/>
    <col min="7" max="7" width="11" customWidth="1"/>
    <col min="8" max="8" width="21.5703125" customWidth="1"/>
    <col min="9" max="9" width="19.5703125" customWidth="1"/>
    <col min="10" max="10" width="14.28515625" customWidth="1"/>
    <col min="11" max="11" width="12" customWidth="1"/>
    <col min="12" max="14" width="10.42578125" customWidth="1"/>
    <col min="15" max="15" width="11.42578125" customWidth="1"/>
    <col min="16" max="16" width="17.42578125" customWidth="1"/>
    <col min="17" max="17" width="15.5703125" customWidth="1"/>
    <col min="18" max="18" width="27.42578125" customWidth="1"/>
    <col min="19" max="19" width="10.42578125" customWidth="1"/>
    <col min="20" max="20" width="12.42578125" customWidth="1"/>
    <col min="21" max="21" width="10.5703125" bestFit="1" customWidth="1"/>
    <col min="22" max="23" width="11.42578125" customWidth="1"/>
    <col min="24" max="24" width="5.85546875" customWidth="1"/>
    <col min="25" max="25" width="27.140625" customWidth="1"/>
  </cols>
  <sheetData>
    <row r="1" spans="1:25" ht="67.5" customHeight="1" x14ac:dyDescent="0.2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</row>
    <row r="2" spans="1:25" x14ac:dyDescent="0.25">
      <c r="A2" s="27" t="inlineStr">
        <is>
          <t xml:space="preserve">Monthly Service Report</t>
        </is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9"/>
    </row>
    <row r="3" spans="1:25" x14ac:dyDescent="0.25">
      <c r="A3" s="10" t="s">
        <v>5</v>
      </c>
      <c r="B3" s="10" t="s">
        <v>7</v>
      </c>
      <c r="C3" s="10"/>
      <c r="P3" s="10" t="s">
        <v>6</v>
      </c>
      <c r="Q3" s="10" t="inlineStr">
        <is>
          <t xml:space="preserve">Denys Kowlessar</t>
        </is>
      </c>
      <c r="R3" s="9"/>
      <c r="S3" s="9"/>
      <c r="T3" s="9"/>
      <c r="U3" s="9"/>
      <c r="V3" s="9"/>
      <c r="W3" s="9"/>
      <c r="X3" s="11"/>
    </row>
    <row r="4" spans="1:25" x14ac:dyDescent="0.25">
      <c r="A4" s="5" t="s">
        <v>8</v>
      </c>
      <c r="B4" s="5"/>
      <c r="C4" s="6">
        <f>(C7)</f>
        <v>0</v>
      </c>
      <c r="P4" s="9"/>
      <c r="Q4" s="9"/>
      <c r="R4" s="9"/>
      <c r="S4" s="9"/>
      <c r="T4" s="9"/>
      <c r="U4" s="9"/>
      <c r="V4" s="9"/>
      <c r="W4" s="9"/>
      <c r="X4" s="9"/>
    </row>
    <row r="6" spans="1:25" ht="38.450000000000003" customHeight="1" x14ac:dyDescent="0.25">
      <c r="A6" s="1" t="s">
        <v>9</v>
      </c>
      <c r="B6" s="1" t="s">
        <v>10</v>
      </c>
      <c r="C6" t="s">
        <v>11</v>
      </c>
      <c r="D6" t="s">
        <v>12</v>
      </c>
      <c r="E6" s="1" t="s">
        <v>13</v>
      </c>
      <c r="F6" s="1" t="s">
        <v>14</v>
      </c>
      <c r="G6" s="1" t="s">
        <v>15</v>
      </c>
      <c r="H6" t="s">
        <v>16</v>
      </c>
      <c r="I6" t="s">
        <v>17</v>
      </c>
      <c r="J6" s="8" t="s">
        <v>18</v>
      </c>
      <c r="K6" s="1" t="s">
        <v>19</v>
      </c>
      <c r="L6" s="1" t="s">
        <v>46</v>
      </c>
      <c r="M6" s="1" t="s">
        <v>20</v>
      </c>
      <c r="N6" s="1" t="s">
        <v>21</v>
      </c>
      <c r="O6" s="1" t="s">
        <v>22</v>
      </c>
      <c r="P6" s="1" t="s">
        <v>23</v>
      </c>
      <c r="Q6" t="s">
        <v>24</v>
      </c>
      <c r="R6" t="s">
        <v>25</v>
      </c>
      <c r="S6" t="s">
        <v>26</v>
      </c>
      <c r="T6" t="s">
        <v>27</v>
      </c>
      <c r="U6" s="1" t="s">
        <v>28</v>
      </c>
      <c r="V6" s="1" t="s">
        <v>29</v>
      </c>
      <c r="W6" s="1" t="s">
        <v>30</v>
      </c>
      <c r="X6" s="1" t="s">
        <v>31</v>
      </c>
      <c r="Y6" t="s">
        <v>32</v>
      </c>
    </row>
    <row r="7" spans="1:25" x14ac:dyDescent="0.35">
      <c r="A7" s="4"/>
      <c r="B7" s="4"/>
      <c r="C7" s="3"/>
      <c r="D7" s="1"/>
      <c r="E7" s="1"/>
      <c r="F7"/>
      <c r="G7"/>
      <c r="H7"/>
      <c r="I7"/>
      <c r="J7" s="32"/>
      <c r="K7"/>
      <c r="L7"/>
      <c r="M7" s="2"/>
      <c r="N7" s="2"/>
      <c r="O7" s="19">
        <f>(Table2[[#This Row],[Departure Time]] - Table2[[#This Row],[Arrival Time]] + (Table2[[#This Row],[Departure Time]] &lt; Table2[[#This Row],[Arrival Time]])) * 24</f>
      </c>
      <c r="P7"/>
      <c r="Q7" s="1"/>
      <c r="R7" s="1"/>
      <c r="S7" s="23"/>
      <c r="T7" s="1"/>
      <c r="U7"/>
      <c r="V7" s="7"/>
      <c r="W7" s="1"/>
      <c r="X7" s="1"/>
      <c r="Y7" s="1"/>
    </row>
  </sheetData>
  <mergeCells count="2">
    <mergeCell ref="A1:X1"/>
    <mergeCell ref="A2:X2"/>
  </mergeCells>
  <phoneticPr fontId="2" type="noConversion"/>
  <conditionalFormatting sqref="I178:I1048576 I1:I6 I11:I12 J162:J177 I14:I19 I21:I40 J41 I42:I78 I80:I161">
    <cfRule type="duplicateValues" dxfId="15" priority="45"/>
  </conditionalFormatting>
  <conditionalFormatting sqref="I1:I6 I11:I12 I178:I1048576 J162:J177 I14:I40 J41 I42:I78 I80:I161">
    <cfRule type="duplicateValues" dxfId="14" priority="8"/>
  </conditionalFormatting>
  <conditionalFormatting sqref="B6 B8:B12 B14:B161">
    <cfRule type="duplicateValues" dxfId="13" priority="294"/>
  </conditionalFormatting>
  <conditionalFormatting sqref="B8:B12 B14:B161">
    <cfRule type="duplicateValues" dxfId="12" priority="298"/>
  </conditionalFormatting>
  <conditionalFormatting sqref="I11:I12 J162:J170 I14:I19 I21:I40 J41 I42:I78 I80:I161">
    <cfRule type="duplicateValues" dxfId="11" priority="302"/>
  </conditionalFormatting>
  <conditionalFormatting sqref="B6 B8:B12 B14:B161">
    <cfRule type="duplicateValues" dxfId="10" priority="322"/>
  </conditionalFormatting>
  <conditionalFormatting sqref="I166">
    <cfRule type="duplicateValues" dxfId="9" priority="2"/>
  </conditionalFormatting>
  <conditionalFormatting sqref="I166">
    <cfRule type="duplicateValues" dxfId="8" priority="1"/>
  </conditionalFormatting>
  <conditionalFormatting sqref="I166">
    <cfRule type="duplicateValues" dxfId="7" priority="3"/>
  </conditionalFormatting>
  <dataValidations count="7">
    <dataValidation type="list" allowBlank="1" showInputMessage="1" showErrorMessage="1" sqref="F7:F7">
      <formula1>"PM,Per Call,Install,Re-visit,Warranty,Assessment,Courtesy,Discovery,Issue,Service,PFS,Delivery,Training,Internal"</formula1>
    </dataValidation>
    <dataValidation type="list" allowBlank="1" showInputMessage="1" showErrorMessage="1" sqref="G7:G7">
      <formula1>"Gold,Silver,Bronze,Rental,N/A,ServMaint"</formula1>
    </dataValidation>
    <dataValidation type="list" allowBlank="1" showInputMessage="1" showErrorMessage="1" sqref="K7:K7 L7:L7">
      <formula1>"Ainsley,Garvin,Herman,Jessica,Joel,Kyle,Nafees,Timothy,Kevin,Reggie,Andre"</formula1>
    </dataValidation>
    <dataValidation type="list" allowBlank="1" showInputMessage="1" showErrorMessage="1" sqref="P7:P7">
      <formula1>"Yes,No"</formula1>
    </dataValidation>
    <dataValidation type="list" allowBlank="1" showInputMessage="1" showErrorMessage="1" sqref="U7:U7">
      <formula1>"No charge,Cash,PO,Cheque,Online,Showroom"</formula1>
    </dataValidation>
    <dataValidation type="list" allowBlank="1" showInputMessage="1" showErrorMessage="1" sqref="W7:W7">
      <formula1>"In Progress,Awaiting Parts,Customer rescheduled,Completed"</formula1>
    </dataValidation>
    <dataValidation type="list" allowBlank="1" showInputMessage="1" showErrorMessage="1" sqref="X7:X7">
      <formula1>"Yes,No,N/A"</formula1>
    </dataValidation>
  </dataValidations>
  <pageMargins left="0.7" right="0.7" top="0.75" bottom="0.75" header="0.3" footer="0.3"/>
  <pageSetup scale="19" fitToWidth="0" orientation="landscape" verticalDpi="12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A08F8-34E9-43C4-A426-B3810CA4C16A}">
  <sheetPr codeName="Sheet10"/>
  <dimension ref="A4:F19"/>
  <sheetViews>
    <sheetView workbookViewId="0">
      <selection activeCell="A4" sqref="A4"/>
    </sheetView>
  </sheetViews>
  <sheetFormatPr defaultRowHeight="15" x14ac:dyDescent="0.25"/>
  <cols>
    <col min="1" max="1" width="6" customWidth="1"/>
    <col min="2" max="2" width="9.5703125" customWidth="1"/>
    <col min="3" max="3" width="22.85546875" bestFit="1" customWidth="1"/>
    <col min="4" max="4" width="13.5703125" bestFit="1" customWidth="1"/>
    <col min="5" max="5" width="13.42578125" customWidth="1"/>
    <col min="6" max="6" width="11.5703125" customWidth="1"/>
  </cols>
  <sheetData>
    <row r="4" spans="1:6" x14ac:dyDescent="0.25">
      <c r="A4" t="s">
        <v>9</v>
      </c>
      <c r="B4" t="s">
        <v>11</v>
      </c>
      <c r="C4" t="s">
        <v>12</v>
      </c>
      <c r="D4" t="s">
        <v>13</v>
      </c>
      <c r="E4" t="s">
        <v>29</v>
      </c>
      <c r="F4" t="s">
        <v>30</v>
      </c>
    </row>
    <row r="5" spans="1:6" x14ac:dyDescent="0.25">
      <c r="A5" s="4"/>
      <c r="B5" s="3"/>
      <c r="E5" s="20"/>
    </row>
    <row r="6" spans="1:6" x14ac:dyDescent="0.25">
      <c r="A6" s="4"/>
      <c r="B6" s="3"/>
      <c r="E6" s="20"/>
    </row>
    <row r="7" spans="1:6" x14ac:dyDescent="0.25">
      <c r="A7" s="4"/>
      <c r="B7" s="3"/>
      <c r="E7" s="21">
        <f>SUBTOTAL(109,Table3[Revenue ($)])</f>
        <v>0</v>
      </c>
    </row>
    <row r="8" spans="1:6" x14ac:dyDescent="0.25">
      <c r="A8" s="4"/>
      <c r="B8" s="3"/>
      <c r="E8" s="20"/>
    </row>
    <row r="9" spans="1:6" x14ac:dyDescent="0.25">
      <c r="A9" s="4"/>
      <c r="B9" s="3"/>
      <c r="E9" s="20"/>
    </row>
    <row r="10" spans="1:6" x14ac:dyDescent="0.25">
      <c r="A10" s="4"/>
      <c r="B10" s="3"/>
      <c r="E10" s="20"/>
    </row>
    <row r="11" spans="1:6" x14ac:dyDescent="0.25">
      <c r="A11" s="4"/>
      <c r="B11" s="3"/>
      <c r="E11" s="20"/>
    </row>
    <row r="12" spans="1:6" x14ac:dyDescent="0.25">
      <c r="A12" s="4"/>
      <c r="B12" s="3"/>
      <c r="E12" s="20"/>
    </row>
    <row r="13" spans="1:6" x14ac:dyDescent="0.25">
      <c r="A13" s="4"/>
      <c r="B13" s="3"/>
      <c r="E13" s="20"/>
    </row>
    <row r="14" spans="1:6" x14ac:dyDescent="0.25">
      <c r="A14" s="4"/>
      <c r="B14" s="3"/>
      <c r="E14" s="20"/>
    </row>
    <row r="15" spans="1:6" x14ac:dyDescent="0.25">
      <c r="A15" s="4"/>
      <c r="B15" s="3"/>
      <c r="E15" s="20"/>
    </row>
    <row r="16" spans="1:6" x14ac:dyDescent="0.25">
      <c r="A16" s="4"/>
      <c r="B16" s="3"/>
      <c r="E16" s="20"/>
    </row>
    <row r="17" spans="1:5" x14ac:dyDescent="0.25">
      <c r="A17" s="4"/>
      <c r="B17" s="3"/>
      <c r="E17" s="20"/>
    </row>
    <row r="18" spans="1:5" x14ac:dyDescent="0.25">
      <c r="A18" s="4"/>
      <c r="B18" s="3"/>
      <c r="E18" s="20"/>
    </row>
    <row r="19" spans="1:5" x14ac:dyDescent="0.25">
      <c r="A19" s="4"/>
      <c r="B19" s="3"/>
      <c r="E19" s="20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85D27-3BCC-45BA-848D-205270F4101B}">
  <sheetPr codeName="Sheet11"/>
  <dimension ref="A1:B149"/>
  <sheetViews>
    <sheetView topLeftCell="A23" workbookViewId="0">
      <selection activeCell="A23" sqref="A23"/>
    </sheetView>
  </sheetViews>
  <sheetFormatPr defaultRowHeight="15" x14ac:dyDescent="0.25"/>
  <cols>
    <col min="1" max="1" width="19.5703125" customWidth="1"/>
    <col min="2" max="2" width="21" customWidth="1"/>
  </cols>
  <sheetData>
    <row r="1" spans="1:2" x14ac:dyDescent="0.25">
      <c r="A1" s="24" t="s">
        <v>82</v>
      </c>
      <c r="B1" s="24" t="s">
        <v>83</v>
      </c>
    </row>
    <row r="2" spans="1:2" x14ac:dyDescent="0.35">
      <c r="A2" s="25" t="inlineStr">
        <is>
          <t xml:space="preserve">XTK</t>
        </is>
      </c>
      <c r="B2" s="25" t="inlineStr">
        <is>
          <t xml:space="preserve">IR ADV C3525i II</t>
        </is>
      </c>
    </row>
    <row r="3" spans="1:2" x14ac:dyDescent="0.35">
      <c r="A3" s="25" t="inlineStr">
        <is>
          <t xml:space="preserve">2XW</t>
        </is>
      </c>
      <c r="B3" s="25" t="inlineStr">
        <is>
          <t xml:space="preserve">IR ADV DX C5850i</t>
        </is>
      </c>
    </row>
    <row r="4" spans="1:2" x14ac:dyDescent="0.35">
      <c r="A4" s="25" t="inlineStr">
        <is>
          <t xml:space="preserve">2UR</t>
        </is>
      </c>
      <c r="B4" s="25" t="inlineStr">
        <is>
          <t xml:space="preserve">IR ADV DX C3730i</t>
        </is>
      </c>
    </row>
    <row r="5" spans="1:2" x14ac:dyDescent="0.35">
      <c r="A5" s="25" t="inlineStr">
        <is>
          <t xml:space="preserve">32M</t>
        </is>
      </c>
      <c r="B5" s="25" t="inlineStr">
        <is>
          <t xml:space="preserve">IR C3226i</t>
        </is>
      </c>
    </row>
    <row r="6" spans="1:2" x14ac:dyDescent="0.35">
      <c r="A6" s="25" t="inlineStr">
        <is>
          <t xml:space="preserve">25J</t>
        </is>
      </c>
      <c r="B6" s="25" t="inlineStr">
        <is>
          <t xml:space="preserve">IR ADV DX 4745i</t>
        </is>
      </c>
    </row>
    <row r="7" spans="1:2" x14ac:dyDescent="0.35">
      <c r="A7" s="25" t="inlineStr">
        <is>
          <t xml:space="preserve">3GA</t>
        </is>
      </c>
      <c r="B7" s="25" t="inlineStr">
        <is>
          <t xml:space="preserve">IR ADV DX C3826i</t>
        </is>
      </c>
    </row>
    <row r="8" spans="1:2" x14ac:dyDescent="0.35">
      <c r="A8" s="25" t="inlineStr">
        <is>
          <t xml:space="preserve">QTW</t>
        </is>
      </c>
      <c r="B8" s="25" t="inlineStr">
        <is>
          <t xml:space="preserve">IR ADV C3325i</t>
        </is>
      </c>
    </row>
    <row r="9" spans="1:2" x14ac:dyDescent="0.35">
      <c r="A9" s="25" t="inlineStr">
        <is>
          <t xml:space="preserve">N22</t>
        </is>
      </c>
      <c r="B9" s="25" t="inlineStr">
        <is>
          <t xml:space="preserve">Kisan Mini</t>
        </is>
      </c>
    </row>
    <row r="10" spans="1:2" x14ac:dyDescent="0.35">
      <c r="A10" s="25" t="inlineStr">
        <is>
          <t xml:space="preserve">4GN</t>
        </is>
      </c>
      <c r="B10" s="25" t="inlineStr">
        <is>
          <t xml:space="preserve">IR ADV DX 529iF</t>
        </is>
      </c>
    </row>
    <row r="11" spans="1:2" x14ac:dyDescent="0.35">
      <c r="A11" s="25" t="inlineStr">
        <is>
          <t xml:space="preserve">3BN</t>
        </is>
      </c>
      <c r="B11" s="25" t="inlineStr">
        <is>
          <t xml:space="preserve">IR ADV DX C5735i</t>
        </is>
      </c>
    </row>
    <row r="12" spans="1:2" x14ac:dyDescent="0.35">
      <c r="A12" s="25" t="inlineStr">
        <is>
          <t xml:space="preserve">4TV</t>
        </is>
      </c>
      <c r="B12" s="25" t="inlineStr">
        <is>
          <t xml:space="preserve">IR ADV DX 4845i</t>
        </is>
      </c>
    </row>
    <row r="13" spans="1:2" x14ac:dyDescent="0.35">
      <c r="A13" s="25" t="inlineStr">
        <is>
          <t xml:space="preserve">SMJ</t>
        </is>
      </c>
      <c r="B13" s="25" t="inlineStr">
        <is>
          <t xml:space="preserve">IR ADV 6565I</t>
        </is>
      </c>
    </row>
    <row r="14" spans="1:2" x14ac:dyDescent="0.35">
      <c r="A14" s="25" t="inlineStr">
        <is>
          <t xml:space="preserve">XLJ</t>
        </is>
      </c>
      <c r="B14" s="25" t="inlineStr">
        <is>
          <t xml:space="preserve">IR ADV C5540i</t>
        </is>
      </c>
    </row>
    <row r="15" spans="1:2" x14ac:dyDescent="0.35">
      <c r="A15" s="25" t="inlineStr">
        <is>
          <t xml:space="preserve">XUW</t>
        </is>
      </c>
      <c r="B15" s="25" t="inlineStr">
        <is>
          <t xml:space="preserve">IR ADV C5535i II</t>
        </is>
      </c>
    </row>
    <row r="16" spans="1:2" x14ac:dyDescent="0.35">
      <c r="A16" s="25" t="inlineStr">
        <is>
          <t xml:space="preserve">WXC</t>
        </is>
      </c>
      <c r="B16" s="25" t="inlineStr">
        <is>
          <t xml:space="preserve">IR ADV C5560I</t>
        </is>
      </c>
    </row>
    <row r="17" spans="1:2" x14ac:dyDescent="0.35">
      <c r="A17" s="25" t="inlineStr">
        <is>
          <t xml:space="preserve">2RW</t>
        </is>
      </c>
      <c r="B17" s="25" t="inlineStr">
        <is>
          <t xml:space="preserve">IR ADV 4525i III</t>
        </is>
      </c>
    </row>
    <row r="18" spans="1:2" x14ac:dyDescent="0.35">
      <c r="A18" s="25" t="inlineStr">
        <is>
          <t xml:space="preserve">4NB</t>
        </is>
      </c>
      <c r="B18" s="25" t="inlineStr">
        <is>
          <t xml:space="preserve">IR C3326i</t>
        </is>
      </c>
    </row>
    <row r="19" spans="1:2" x14ac:dyDescent="0.35">
      <c r="A19" s="25" t="inlineStr">
        <is>
          <t xml:space="preserve">2KK</t>
        </is>
      </c>
      <c r="B19" s="25" t="inlineStr">
        <is>
          <t xml:space="preserve">IR ADV C5535i III</t>
        </is>
      </c>
    </row>
    <row r="20" spans="1:2" x14ac:dyDescent="0.35">
      <c r="A20" s="25" t="inlineStr">
        <is>
          <t xml:space="preserve">2GH</t>
        </is>
      </c>
      <c r="B20" s="25" t="inlineStr">
        <is>
          <t xml:space="preserve">IR ADV C3525i III</t>
        </is>
      </c>
    </row>
    <row r="21" spans="1:2" x14ac:dyDescent="0.35">
      <c r="A21" s="25" t="inlineStr">
        <is>
          <t xml:space="preserve">4MK</t>
        </is>
      </c>
      <c r="B21" s="25" t="inlineStr">
        <is>
          <t xml:space="preserve">IR ADV DX C3926i</t>
        </is>
      </c>
    </row>
    <row r="22" spans="1:2" x14ac:dyDescent="0.35">
      <c r="A22" s="25" t="inlineStr">
        <is>
          <t xml:space="preserve">4PL</t>
        </is>
      </c>
      <c r="B22" s="25" t="inlineStr">
        <is>
          <t xml:space="preserve">IR ADV DX 4925i</t>
        </is>
      </c>
    </row>
    <row r="23" spans="1:2" x14ac:dyDescent="0.35">
      <c r="A23" s="25" t="inlineStr">
        <is>
          <t xml:space="preserve">2JV</t>
        </is>
      </c>
      <c r="B23" s="25" t="inlineStr">
        <is>
          <t xml:space="preserve">IR ADV C5540i III</t>
        </is>
      </c>
    </row>
    <row r="24" spans="1:2" x14ac:dyDescent="0.35">
      <c r="A24" s="25" t="inlineStr">
        <is>
          <t xml:space="preserve">34W</t>
        </is>
      </c>
      <c r="B24" s="25" t="inlineStr">
        <is>
          <t xml:space="preserve">IR 1643iF II</t>
        </is>
      </c>
    </row>
    <row r="25" spans="1:2" x14ac:dyDescent="0.35">
      <c r="A25" s="25" t="inlineStr">
        <is>
          <t xml:space="preserve">4AF</t>
        </is>
      </c>
      <c r="B25" s="25" t="inlineStr">
        <is>
          <t xml:space="preserve">IR ADV DX 4725i</t>
        </is>
      </c>
    </row>
    <row r="26" spans="1:2" x14ac:dyDescent="0.35">
      <c r="A26" s="25" t="inlineStr">
        <is>
          <t xml:space="preserve">XVR</t>
        </is>
      </c>
      <c r="B26" s="25" t="inlineStr">
        <is>
          <t xml:space="preserve">IR ADV 4545i II</t>
        </is>
      </c>
    </row>
    <row r="27" spans="1:2" x14ac:dyDescent="0.35">
      <c r="A27" s="25" t="inlineStr">
        <is>
          <t xml:space="preserve">4TH</t>
        </is>
      </c>
      <c r="B27" s="25" t="inlineStr">
        <is>
          <t xml:space="preserve">IR ADV DX 4935i</t>
        </is>
      </c>
    </row>
    <row r="28" spans="1:2" x14ac:dyDescent="0.35">
      <c r="A28" s="25" t="inlineStr">
        <is>
          <t xml:space="preserve">4CD</t>
        </is>
      </c>
      <c r="B28" s="25" t="inlineStr">
        <is>
          <t xml:space="preserve">IR ADV DX C3826i</t>
        </is>
      </c>
    </row>
    <row r="29" spans="1:2" x14ac:dyDescent="0.35">
      <c r="A29" s="25" t="inlineStr">
        <is>
          <t xml:space="preserve">4BT</t>
        </is>
      </c>
      <c r="B29" s="25" t="inlineStr">
        <is>
          <t xml:space="preserve">IR ADV DX C3830i</t>
        </is>
      </c>
    </row>
    <row r="30" spans="1:2" x14ac:dyDescent="0.35">
      <c r="A30" s="25" t="inlineStr">
        <is>
          <t xml:space="preserve">4LY</t>
        </is>
      </c>
      <c r="B30" s="25" t="inlineStr">
        <is>
          <t xml:space="preserve">IR ADV DX C3930i</t>
        </is>
      </c>
    </row>
    <row r="31" spans="1:2" x14ac:dyDescent="0.35">
      <c r="A31" s="25" t="inlineStr">
        <is>
          <t xml:space="preserve">FRU</t>
        </is>
      </c>
      <c r="B31" s="25" t="inlineStr">
        <is>
          <t xml:space="preserve">IR 2525</t>
        </is>
      </c>
    </row>
    <row r="32" spans="1:2" x14ac:dyDescent="0.35">
      <c r="A32" s="25" t="inlineStr">
        <is>
          <t xml:space="preserve">KNX</t>
        </is>
      </c>
      <c r="B32" s="25" t="inlineStr">
        <is>
          <t xml:space="preserve">PIXMA G3160</t>
        </is>
      </c>
    </row>
    <row r="33" spans="1:2" x14ac:dyDescent="0.35">
      <c r="A33" s="25" t="inlineStr">
        <is>
          <t xml:space="preserve">JMB</t>
        </is>
      </c>
      <c r="B33" s="25" t="inlineStr">
        <is>
          <t xml:space="preserve">IR ADV C5255</t>
        </is>
      </c>
    </row>
    <row r="34" spans="1:2" x14ac:dyDescent="0.35">
      <c r="A34" s="25" t="inlineStr">
        <is>
          <t xml:space="preserve">4LM</t>
        </is>
      </c>
      <c r="B34" s="25" t="inlineStr">
        <is>
          <t xml:space="preserve">IR ADV DX C3935i</t>
        </is>
      </c>
    </row>
    <row r="35" spans="1:2" x14ac:dyDescent="0.35">
      <c r="A35" s="25" t="inlineStr">
        <is>
          <t xml:space="preserve">4QS</t>
        </is>
      </c>
      <c r="B35" s="25" t="inlineStr">
        <is>
          <t xml:space="preserve">IR ADV DX C257iF</t>
        </is>
      </c>
    </row>
    <row r="36" spans="1:2" x14ac:dyDescent="0.35">
      <c r="A36" s="25" t="inlineStr">
        <is>
          <t xml:space="preserve">23D</t>
        </is>
      </c>
      <c r="B36" s="25" t="inlineStr">
        <is>
          <t xml:space="preserve">IR ADV DX 527iF</t>
        </is>
      </c>
    </row>
    <row r="37" spans="1:2" x14ac:dyDescent="0.35">
      <c r="A37" s="25" t="inlineStr">
        <is>
          <t xml:space="preserve">27Y</t>
        </is>
      </c>
      <c r="B37" s="25" t="inlineStr">
        <is>
          <t xml:space="preserve">IR ADV DX 8995i</t>
        </is>
      </c>
    </row>
    <row r="38" spans="1:2" x14ac:dyDescent="0.35">
      <c r="A38" s="25" t="inlineStr">
        <is>
          <t xml:space="preserve">XTZ</t>
        </is>
      </c>
      <c r="B38" s="25" t="inlineStr">
        <is>
          <t xml:space="preserve">IR ADV C5560i II</t>
        </is>
      </c>
    </row>
    <row r="39" spans="1:2" x14ac:dyDescent="0.35">
      <c r="A39" s="25" t="inlineStr">
        <is>
          <t xml:space="preserve">2GU</t>
        </is>
      </c>
      <c r="B39" s="25" t="inlineStr">
        <is>
          <t xml:space="preserve">IR ADV C3530i III</t>
        </is>
      </c>
    </row>
    <row r="40" spans="1:2" x14ac:dyDescent="0.35">
      <c r="A40" s="25" t="inlineStr">
        <is>
          <t xml:space="preserve">2YJ</t>
        </is>
      </c>
      <c r="B40" s="25" t="inlineStr">
        <is>
          <t xml:space="preserve">IR ADV DX C5840i</t>
        </is>
      </c>
    </row>
    <row r="41" spans="1:2" x14ac:dyDescent="0.35">
      <c r="A41" s="25" t="inlineStr">
        <is>
          <t xml:space="preserve">RKM</t>
        </is>
      </c>
      <c r="B41" s="25" t="inlineStr">
        <is>
          <t xml:space="preserve">IR ADV 4245</t>
        </is>
      </c>
    </row>
    <row r="42" spans="1:2" x14ac:dyDescent="0.35">
      <c r="A42" s="25" t="inlineStr">
        <is>
          <t xml:space="preserve">4UN</t>
        </is>
      </c>
      <c r="B42" s="25" t="inlineStr">
        <is>
          <t xml:space="preserve">imageCLASS X MF1538C</t>
        </is>
      </c>
    </row>
    <row r="43" spans="1:2" x14ac:dyDescent="0.35">
      <c r="A43" s="25" t="inlineStr">
        <is>
          <t xml:space="preserve">XTD</t>
        </is>
      </c>
      <c r="B43" s="25" t="inlineStr">
        <is>
          <t xml:space="preserve">IR ADV C3530i II</t>
        </is>
      </c>
    </row>
    <row r="44" spans="1:2" x14ac:dyDescent="0.35">
      <c r="A44" s="25" t="inlineStr">
        <is>
          <t xml:space="preserve">2LN</t>
        </is>
      </c>
      <c r="B44" s="25" t="inlineStr">
        <is>
          <t xml:space="preserve">IR ADV 6565i III</t>
        </is>
      </c>
    </row>
    <row r="45" spans="1:2" x14ac:dyDescent="0.35">
      <c r="A45" s="25" t="inlineStr">
        <is>
          <t xml:space="preserve">RMU</t>
        </is>
      </c>
      <c r="B45" s="25" t="inlineStr">
        <is>
          <t xml:space="preserve">IR 2525</t>
        </is>
      </c>
    </row>
    <row r="46" spans="1:2" x14ac:dyDescent="0.35">
      <c r="A46" s="25" t="inlineStr">
        <is>
          <t xml:space="preserve">WXF</t>
        </is>
      </c>
      <c r="B46" s="25" t="inlineStr">
        <is>
          <t xml:space="preserve">IR ADV C5535I</t>
        </is>
      </c>
    </row>
    <row r="47" spans="1:2" x14ac:dyDescent="0.35">
      <c r="A47" s="25" t="inlineStr">
        <is>
          <t xml:space="preserve">JWH</t>
        </is>
      </c>
      <c r="B47" s="25" t="inlineStr">
        <is>
          <t xml:space="preserve">IR ADV C5235 UL</t>
        </is>
      </c>
    </row>
    <row r="48" spans="1:2" x14ac:dyDescent="0.35">
      <c r="A48" s="25" t="inlineStr">
        <is>
          <t xml:space="preserve">3VT</t>
        </is>
      </c>
      <c r="B48" s="25" t="inlineStr">
        <is>
          <t xml:space="preserve">imageCLASS X MF1333C</t>
        </is>
      </c>
    </row>
    <row r="49" spans="1:2" x14ac:dyDescent="0.35">
      <c r="A49" s="25" t="inlineStr">
        <is>
          <t xml:space="preserve">RZJ</t>
        </is>
      </c>
      <c r="B49" s="25" t="inlineStr">
        <is>
          <t xml:space="preserve">IR 1435iF</t>
        </is>
      </c>
    </row>
    <row r="50" spans="1:2" x14ac:dyDescent="0.35">
      <c r="A50" s="25" t="inlineStr">
        <is>
          <t xml:space="preserve">MF1</t>
        </is>
      </c>
      <c r="B50" s="25" t="inlineStr">
        <is>
          <t xml:space="preserve">imageCLASS X MF1127C</t>
        </is>
      </c>
    </row>
    <row r="51" spans="1:2" x14ac:dyDescent="0.35">
      <c r="A51" s="25" t="inlineStr">
        <is>
          <t xml:space="preserve">QNR</t>
        </is>
      </c>
      <c r="B51" s="25" t="inlineStr">
        <is>
          <t xml:space="preserve">IR ADV C250iF</t>
        </is>
      </c>
    </row>
    <row r="52" spans="1:2" x14ac:dyDescent="0.35">
      <c r="A52" s="25" t="inlineStr">
        <is>
          <t xml:space="preserve">KMX</t>
        </is>
      </c>
      <c r="B52" s="25" t="inlineStr">
        <is>
          <t xml:space="preserve">PIXMA G3160</t>
        </is>
      </c>
    </row>
    <row r="53" spans="1:2" x14ac:dyDescent="0.35">
      <c r="A53" s="25" t="inlineStr">
        <is>
          <t xml:space="preserve">2QD</t>
        </is>
      </c>
      <c r="B53" s="25" t="inlineStr">
        <is>
          <t xml:space="preserve">IR ADV 4545i III</t>
        </is>
      </c>
    </row>
    <row r="54" spans="1:2" x14ac:dyDescent="0.35">
      <c r="A54" s="25" t="inlineStr">
        <is>
          <t xml:space="preserve">BAC</t>
        </is>
      </c>
      <c r="B54" s="25" t="inlineStr">
        <is>
          <t xml:space="preserve">imagePROGRAF TM-300</t>
        </is>
      </c>
    </row>
    <row r="55" spans="1:2" x14ac:dyDescent="0.35">
      <c r="A55" s="25" t="inlineStr">
        <is>
          <t xml:space="preserve">4QV</t>
        </is>
      </c>
      <c r="B55" s="25" t="inlineStr">
        <is>
          <t xml:space="preserve">IR ADV DX C357iF</t>
        </is>
      </c>
    </row>
    <row r="56" spans="1:2" x14ac:dyDescent="0.35">
      <c r="A56" s="25" t="inlineStr">
        <is>
          <t xml:space="preserve">2WQ</t>
        </is>
      </c>
      <c r="B56" s="25" t="inlineStr">
        <is>
          <t xml:space="preserve">IR ADV 525iF III</t>
        </is>
      </c>
    </row>
    <row r="57" spans="1:2" x14ac:dyDescent="0.35">
      <c r="A57" s="25" t="inlineStr">
        <is>
          <t xml:space="preserve">NTG</t>
        </is>
      </c>
      <c r="B57" s="25" t="inlineStr">
        <is>
          <t xml:space="preserve">LBP 6030w</t>
        </is>
      </c>
    </row>
    <row r="58" spans="1:2" x14ac:dyDescent="0.35">
      <c r="A58" s="25" t="inlineStr">
        <is>
          <t xml:space="preserve">919</t>
        </is>
      </c>
      <c r="B58" s="25" t="inlineStr">
        <is>
          <t xml:space="preserve">SSP1-ELITE155</t>
        </is>
      </c>
    </row>
    <row r="59" spans="1:2" x14ac:dyDescent="0.35">
      <c r="A59" s="25" t="inlineStr">
        <is>
          <t xml:space="preserve">XWH</t>
        </is>
      </c>
      <c r="B59" s="25" t="inlineStr">
        <is>
          <t xml:space="preserve">IR ADV 4525i II</t>
        </is>
      </c>
    </row>
    <row r="60" spans="1:2" x14ac:dyDescent="0.35">
      <c r="A60" s="25" t="inlineStr">
        <is>
          <t xml:space="preserve">QLA</t>
        </is>
      </c>
      <c r="B60" s="25" t="inlineStr">
        <is>
          <t xml:space="preserve">IR ADV 400iF</t>
        </is>
      </c>
    </row>
    <row r="61" spans="1:2" x14ac:dyDescent="0.35">
      <c r="A61" s="25" t="inlineStr">
        <is>
          <t xml:space="preserve">4TX</t>
        </is>
      </c>
      <c r="B61" s="25" t="inlineStr">
        <is>
          <t xml:space="preserve">IR ADV DX 4825i</t>
        </is>
      </c>
    </row>
    <row r="62" spans="1:2" x14ac:dyDescent="0.35">
      <c r="A62" s="25" t="inlineStr">
        <is>
          <t xml:space="preserve">RRB</t>
        </is>
      </c>
      <c r="B62" s="25" t="inlineStr">
        <is>
          <t xml:space="preserve">IR ADV C5235A</t>
        </is>
      </c>
    </row>
    <row r="63" spans="1:2" x14ac:dyDescent="0.35">
      <c r="A63" s="25" t="inlineStr">
        <is>
          <t xml:space="preserve">512</t>
        </is>
      </c>
      <c r="B63" s="25" t="inlineStr">
        <is>
          <t xml:space="preserve">Quantum 21</t>
        </is>
      </c>
    </row>
    <row r="64" spans="1:2" x14ac:dyDescent="0.35">
      <c r="A64" s="25" t="inlineStr">
        <is>
          <t xml:space="preserve">2UA</t>
        </is>
      </c>
      <c r="B64" s="25" t="inlineStr">
        <is>
          <t xml:space="preserve">IR ADV DX C3725i</t>
        </is>
      </c>
    </row>
    <row r="65" spans="1:2" x14ac:dyDescent="0.35">
      <c r="A65" s="25" t="inlineStr">
        <is>
          <t xml:space="preserve">XQZ</t>
        </is>
      </c>
      <c r="B65" s="25" t="inlineStr">
        <is>
          <t xml:space="preserve">IR ADV 8585i</t>
        </is>
      </c>
    </row>
    <row r="66" spans="1:2" x14ac:dyDescent="0.35">
      <c r="A66" s="25" t="inlineStr">
        <is>
          <t xml:space="preserve">XNF</t>
        </is>
      </c>
      <c r="B66" s="25" t="inlineStr">
        <is>
          <t xml:space="preserve">IR ADV 6565i</t>
        </is>
      </c>
    </row>
    <row r="67" spans="1:2" x14ac:dyDescent="0.35">
      <c r="A67" s="25" t="inlineStr">
        <is>
          <t xml:space="preserve">2VD</t>
        </is>
      </c>
      <c r="B67" s="25" t="inlineStr">
        <is>
          <t xml:space="preserve">IR 2630</t>
        </is>
      </c>
    </row>
    <row r="68" spans="1:2" x14ac:dyDescent="0.35">
      <c r="A68" s="25" t="inlineStr">
        <is>
          <t xml:space="preserve">3WB</t>
        </is>
      </c>
      <c r="B68" s="25" t="inlineStr">
        <is>
          <t xml:space="preserve">imageCLASS MF753Cdw</t>
        </is>
      </c>
    </row>
    <row r="69" spans="1:2" x14ac:dyDescent="0.35">
      <c r="A69" s="25" t="inlineStr">
        <is>
          <t xml:space="preserve">GNG</t>
        </is>
      </c>
      <c r="B69" s="25" t="inlineStr">
        <is>
          <t xml:space="preserve">IR ADV C5030</t>
        </is>
      </c>
    </row>
    <row r="70" spans="1:2" x14ac:dyDescent="0.35">
      <c r="A70" s="25" t="inlineStr">
        <is>
          <t xml:space="preserve">S21</t>
        </is>
      </c>
      <c r="B70" s="25" t="inlineStr">
        <is>
          <t xml:space="preserve">K3A</t>
        </is>
      </c>
    </row>
    <row r="71" spans="1:2" x14ac:dyDescent="0.35">
      <c r="A71" s="25" t="inlineStr">
        <is>
          <t xml:space="preserve">BAL</t>
        </is>
      </c>
      <c r="B71" s="25" t="inlineStr">
        <is>
          <t xml:space="preserve">TM300</t>
        </is>
      </c>
    </row>
    <row r="72" spans="1:2" x14ac:dyDescent="0.35">
      <c r="A72" s="25" t="inlineStr">
        <is>
          <t xml:space="preserve">712</t>
        </is>
      </c>
      <c r="B72" s="25" t="inlineStr">
        <is>
          <t xml:space="preserve">TellerScan TS240</t>
        </is>
      </c>
    </row>
    <row r="73" spans="1:2" x14ac:dyDescent="0.35">
      <c r="A73" s="25" t="inlineStr">
        <is>
          <t xml:space="preserve">922</t>
        </is>
      </c>
      <c r="B73" s="25" t="inlineStr">
        <is>
          <t xml:space="preserve">SSP1-ELITE155</t>
        </is>
      </c>
    </row>
    <row r="74" spans="1:2" x14ac:dyDescent="0.35">
      <c r="A74" s="25" t="inlineStr">
        <is>
          <t xml:space="preserve">709</t>
        </is>
      </c>
      <c r="B74" s="25" t="inlineStr">
        <is>
          <t xml:space="preserve">TellerScan TS240</t>
        </is>
      </c>
    </row>
    <row r="75" spans="1:2" x14ac:dyDescent="0.35">
      <c r="A75" s="25" t="inlineStr">
        <is>
          <t xml:space="preserve">2KJ</t>
        </is>
      </c>
      <c r="B75" s="25" t="inlineStr">
        <is>
          <t xml:space="preserve">IR ADV C5535i III</t>
        </is>
      </c>
    </row>
    <row r="76" spans="1:2" x14ac:dyDescent="0.35">
      <c r="A76" s="25" t="inlineStr">
        <is>
          <t xml:space="preserve">K23</t>
        </is>
      </c>
      <c r="B76" s="25" t="inlineStr">
        <is>
          <t xml:space="preserve">Kisan K6</t>
        </is>
      </c>
    </row>
    <row r="77" spans="1:2" x14ac:dyDescent="0.35">
      <c r="A77" s="25" t="inlineStr">
        <is>
          <t xml:space="preserve">S22</t>
        </is>
      </c>
      <c r="B77" s="25" t="inlineStr">
        <is>
          <t xml:space="preserve">QUANTUM 21</t>
        </is>
      </c>
    </row>
    <row r="78" spans="1:2" x14ac:dyDescent="0.35">
      <c r="A78" s="25" t="inlineStr">
        <is>
          <t xml:space="preserve">27P</t>
        </is>
      </c>
      <c r="B78" s="25" t="inlineStr">
        <is>
          <t xml:space="preserve">IR ADV DX 6780i</t>
        </is>
      </c>
    </row>
    <row r="79" spans="1:2" x14ac:dyDescent="0.35">
      <c r="A79" s="25" t="inlineStr">
        <is>
          <t xml:space="preserve">UMV</t>
        </is>
      </c>
      <c r="B79" s="25" t="inlineStr">
        <is>
          <t xml:space="preserve">IR ADV 4545i</t>
        </is>
      </c>
    </row>
    <row r="80" spans="1:2" x14ac:dyDescent="0.35">
      <c r="A80" s="25" t="inlineStr">
        <is>
          <t xml:space="preserve">WHG</t>
        </is>
      </c>
      <c r="B80" s="25" t="inlineStr">
        <is>
          <t xml:space="preserve">IR ADV C5540I</t>
        </is>
      </c>
    </row>
    <row r="81" spans="1:2" x14ac:dyDescent="0.35">
      <c r="A81" s="25" t="inlineStr">
        <is>
          <t xml:space="preserve">WXE</t>
        </is>
      </c>
      <c r="B81" s="25" t="inlineStr">
        <is>
          <t xml:space="preserve">IR ADV C5540I</t>
        </is>
      </c>
    </row>
    <row r="82" spans="1:2" x14ac:dyDescent="0.35">
      <c r="A82" s="25" t="inlineStr">
        <is>
          <t xml:space="preserve">2HT</t>
        </is>
      </c>
      <c r="B82" s="25" t="inlineStr">
        <is>
          <t xml:space="preserve">IR ADV C5560i III</t>
        </is>
      </c>
    </row>
    <row r="83" spans="1:2" x14ac:dyDescent="0.35">
      <c r="A83" s="25" t="inlineStr">
        <is>
          <t xml:space="preserve">25Z</t>
        </is>
      </c>
      <c r="B83" s="25" t="inlineStr">
        <is>
          <t xml:space="preserve">WG7140</t>
        </is>
      </c>
    </row>
    <row r="84" spans="1:2" x14ac:dyDescent="0.35">
      <c r="A84" s="25" t="inlineStr">
        <is>
          <t xml:space="preserve">3MJ</t>
        </is>
      </c>
      <c r="B84" s="25" t="inlineStr">
        <is>
          <t xml:space="preserve">IR ADV DX 6860i</t>
        </is>
      </c>
    </row>
    <row r="85" spans="1:2" x14ac:dyDescent="0.35">
      <c r="A85" s="25" t="inlineStr">
        <is>
          <t xml:space="preserve">CND</t>
        </is>
      </c>
      <c r="B85" s="25" t="inlineStr">
        <is>
          <t xml:space="preserve">HP LAPTOP 15</t>
        </is>
      </c>
    </row>
    <row r="86" spans="1:2" x14ac:dyDescent="0.35">
      <c r="A86" s="25" t="inlineStr">
        <is>
          <t xml:space="preserve">TWU</t>
        </is>
      </c>
      <c r="B86" s="25" t="inlineStr">
        <is>
          <t xml:space="preserve">imageCLASS MF729CDW</t>
        </is>
      </c>
    </row>
    <row r="87" spans="1:2" x14ac:dyDescent="0.35">
      <c r="A87" s="25" t="inlineStr">
        <is>
          <t xml:space="preserve">3FY</t>
        </is>
      </c>
      <c r="B87" s="25" t="inlineStr">
        <is>
          <t xml:space="preserve">IR ADV DX C3830i</t>
        </is>
      </c>
    </row>
    <row r="88" spans="1:2" x14ac:dyDescent="0.35">
      <c r="A88" s="25" t="inlineStr">
        <is>
          <t xml:space="preserve">4BA</t>
        </is>
      </c>
      <c r="B88" s="25" t="inlineStr">
        <is>
          <t xml:space="preserve">IR ADV DX 4745i</t>
        </is>
      </c>
    </row>
    <row r="89" spans="1:2" x14ac:dyDescent="0.35">
      <c r="A89" s="25" t="inlineStr">
        <is>
          <t xml:space="preserve">YDB</t>
        </is>
      </c>
      <c r="B89" s="25" t="inlineStr">
        <is>
          <t xml:space="preserve">IR 1435iF+</t>
        </is>
      </c>
    </row>
    <row r="90" spans="1:2" x14ac:dyDescent="0.35">
      <c r="A90" s="25" t="inlineStr">
        <is>
          <t xml:space="preserve">3CE</t>
        </is>
      </c>
      <c r="B90" s="25" t="inlineStr">
        <is>
          <t xml:space="preserve">IR ADV DX C257iF</t>
        </is>
      </c>
    </row>
    <row r="91" spans="1:2" x14ac:dyDescent="0.35">
      <c r="A91" s="25" t="inlineStr">
        <is>
          <t xml:space="preserve">2XK</t>
        </is>
      </c>
      <c r="B91" s="25" t="inlineStr">
        <is>
          <t xml:space="preserve">IR ADV DX C5860i</t>
        </is>
      </c>
    </row>
    <row r="92" spans="1:2" x14ac:dyDescent="0.35">
      <c r="A92" s="25" t="inlineStr">
        <is>
          <t xml:space="preserve">3UE</t>
        </is>
      </c>
      <c r="B92" s="25" t="inlineStr">
        <is>
          <t xml:space="preserve">IR ADV DX 6980i</t>
        </is>
      </c>
    </row>
    <row r="93" spans="1:2" x14ac:dyDescent="0.35">
      <c r="A93" s="25" t="inlineStr">
        <is>
          <t xml:space="preserve">3FX</t>
        </is>
      </c>
      <c r="B93" s="25" t="inlineStr">
        <is>
          <t xml:space="preserve">IR ADV DX C3835i</t>
        </is>
      </c>
    </row>
    <row r="94" spans="1:2" x14ac:dyDescent="0.35">
      <c r="A94" s="25" t="inlineStr">
        <is>
          <t xml:space="preserve">4NS</t>
        </is>
      </c>
      <c r="B94" s="25" t="inlineStr">
        <is>
          <t xml:space="preserve">IR ADV DX 4945i</t>
        </is>
      </c>
    </row>
    <row r="95" spans="1:2" x14ac:dyDescent="0.35">
      <c r="A95" s="25" t="inlineStr">
        <is>
          <t xml:space="preserve">YGS</t>
        </is>
      </c>
      <c r="B95" s="25" t="inlineStr">
        <is>
          <t xml:space="preserve">IR ADV 8505i III</t>
        </is>
      </c>
    </row>
    <row r="96" spans="1:2" x14ac:dyDescent="0.35">
      <c r="A96" s="25" t="inlineStr">
        <is>
          <t xml:space="preserve">YFF</t>
        </is>
      </c>
      <c r="B96" s="25" t="inlineStr">
        <is>
          <t xml:space="preserve">iR ADV DX 8705i</t>
        </is>
      </c>
    </row>
    <row r="97" spans="1:2" x14ac:dyDescent="0.35">
      <c r="A97" s="25" t="inlineStr">
        <is>
          <t xml:space="preserve">KRH</t>
        </is>
      </c>
      <c r="B97" s="25" t="inlineStr">
        <is>
          <t xml:space="preserve">PIXMA G3270</t>
        </is>
      </c>
    </row>
    <row r="98" spans="1:2" x14ac:dyDescent="0.35">
      <c r="A98" s="25" t="inlineStr">
        <is>
          <t xml:space="preserve">4DE</t>
        </is>
      </c>
      <c r="B98" s="25" t="inlineStr">
        <is>
          <t xml:space="preserve">IR ADV C3226i</t>
        </is>
      </c>
    </row>
    <row r="99" spans="1:2" x14ac:dyDescent="0.35">
      <c r="A99" s="25" t="inlineStr">
        <is>
          <t xml:space="preserve">3RD</t>
        </is>
      </c>
      <c r="B99" s="25" t="inlineStr">
        <is>
          <t xml:space="preserve">imageCLASS MF455dw</t>
        </is>
      </c>
    </row>
    <row r="100" spans="1:2" x14ac:dyDescent="0.35">
      <c r="A100" s="25" t="inlineStr">
        <is>
          <t xml:space="preserve">YKQ</t>
        </is>
      </c>
      <c r="B100" s="25" t="inlineStr">
        <is>
          <t xml:space="preserve">imageCLASS MF656Cdw</t>
        </is>
      </c>
    </row>
    <row r="101" spans="1:2" x14ac:dyDescent="0.35">
      <c r="A101" s="25" t="inlineStr">
        <is>
          <t xml:space="preserve">BAP</t>
        </is>
      </c>
      <c r="B101" s="25" t="inlineStr">
        <is>
          <t xml:space="preserve">imagePROGRAF PRO-4100</t>
        </is>
      </c>
    </row>
    <row r="102" spans="1:2" x14ac:dyDescent="0.35">
      <c r="A102" s="25" t="inlineStr">
        <is>
          <t xml:space="preserve">4TA</t>
        </is>
      </c>
      <c r="B102" s="25" t="inlineStr">
        <is>
          <t xml:space="preserve">IR ADV DX C3930i</t>
        </is>
      </c>
    </row>
    <row r="103" spans="1:2" x14ac:dyDescent="0.35">
      <c r="A103" s="25" t="inlineStr">
        <is>
          <t xml:space="preserve">QLL</t>
        </is>
      </c>
      <c r="B103" s="25" t="inlineStr">
        <is>
          <t xml:space="preserve">IR ADV 500iF</t>
        </is>
      </c>
    </row>
    <row r="104" spans="1:2" x14ac:dyDescent="0.35">
      <c r="A104" s="25" t="inlineStr">
        <is>
          <t xml:space="preserve">4TK</t>
        </is>
      </c>
      <c r="B104" s="25" t="inlineStr">
        <is>
          <t xml:space="preserve">IR ADV DX 4925i</t>
        </is>
      </c>
    </row>
    <row r="105" spans="1:2" x14ac:dyDescent="0.35">
      <c r="A105" s="25" t="inlineStr">
        <is>
          <t xml:space="preserve">XLN</t>
        </is>
      </c>
      <c r="B105" s="25" t="inlineStr">
        <is>
          <t xml:space="preserve">IR ADV C5535i</t>
        </is>
      </c>
    </row>
    <row r="106" spans="1:2" x14ac:dyDescent="0.35">
      <c r="A106" s="25" t="inlineStr">
        <is>
          <t xml:space="preserve">AEN</t>
        </is>
      </c>
      <c r="B106" s="25" t="inlineStr">
        <is>
          <t xml:space="preserve">MAXIFY MB5410</t>
        </is>
      </c>
    </row>
    <row r="107" spans="1:2" x14ac:dyDescent="0.35">
      <c r="A107" s="25" t="inlineStr">
        <is>
          <t xml:space="preserve">QWR</t>
        </is>
      </c>
      <c r="B107" s="25" t="inlineStr">
        <is>
          <t xml:space="preserve">IR C250</t>
        </is>
      </c>
    </row>
    <row r="108" spans="1:2" x14ac:dyDescent="0.35">
      <c r="A108" s="25" t="inlineStr">
        <is>
          <t xml:space="preserve">3LN</t>
        </is>
      </c>
      <c r="B108" s="25" t="inlineStr">
        <is>
          <t xml:space="preserve">IR ADV DX C478iF</t>
        </is>
      </c>
    </row>
    <row r="109" spans="1:2" x14ac:dyDescent="0.35">
      <c r="A109" s="25" t="inlineStr">
        <is>
          <t xml:space="preserve">WXD</t>
        </is>
      </c>
      <c r="B109" s="25" t="inlineStr">
        <is>
          <t xml:space="preserve">IIR ADV C5550 I</t>
        </is>
      </c>
    </row>
    <row r="110" spans="1:2" x14ac:dyDescent="0.35">
      <c r="A110" s="25" t="inlineStr">
        <is>
          <t xml:space="preserve">EX3</t>
        </is>
      </c>
      <c r="B110" s="25" t="inlineStr">
        <is>
          <t xml:space="preserve">Canon DR</t>
        </is>
      </c>
    </row>
    <row r="111" spans="1:2" x14ac:dyDescent="0.35">
      <c r="A111" s="25" t="inlineStr">
        <is>
          <t xml:space="preserve">4KQ</t>
        </is>
      </c>
      <c r="B111" s="25" t="inlineStr">
        <is>
          <t xml:space="preserve">MF65CDW</t>
        </is>
      </c>
    </row>
    <row r="112" spans="1:2" x14ac:dyDescent="0.35">
      <c r="A112" s="25" t="inlineStr">
        <is>
          <t xml:space="preserve">2LP</t>
        </is>
      </c>
      <c r="B112" s="25" t="inlineStr">
        <is>
          <t xml:space="preserve">IR ADV 6555i III</t>
        </is>
      </c>
    </row>
    <row r="113" spans="1:2" x14ac:dyDescent="0.35">
      <c r="A113" s="25" t="inlineStr">
        <is>
          <t xml:space="preserve">DS2</t>
        </is>
      </c>
      <c r="B113" s="25" t="inlineStr">
        <is>
          <t xml:space="preserve">DS 200</t>
        </is>
      </c>
    </row>
    <row r="114" spans="1:2" x14ac:dyDescent="0.35">
      <c r="A114" s="25" t="inlineStr">
        <is>
          <t xml:space="preserve">44Q</t>
        </is>
      </c>
      <c r="B114" s="25" t="inlineStr">
        <is>
          <t xml:space="preserve">imageCLASS MF753Cdw</t>
        </is>
      </c>
    </row>
    <row r="115" spans="1:2" x14ac:dyDescent="0.35">
      <c r="A115" s="25" t="inlineStr">
        <is>
          <t xml:space="preserve">HXY</t>
        </is>
      </c>
      <c r="B115" s="25" t="inlineStr">
        <is>
          <t xml:space="preserve">MF 8350</t>
        </is>
      </c>
    </row>
    <row r="116" spans="1:2" x14ac:dyDescent="0.35">
      <c r="A116" s="25" t="inlineStr">
        <is>
          <t xml:space="preserve">RMB</t>
        </is>
      </c>
      <c r="B116" s="25" t="inlineStr">
        <is>
          <t xml:space="preserve">IR  1325iF</t>
        </is>
      </c>
    </row>
    <row r="117" spans="1:2" x14ac:dyDescent="0.35">
      <c r="A117" s="25" t="inlineStr">
        <is>
          <t xml:space="preserve">PXK</t>
        </is>
      </c>
      <c r="B117" s="25" t="inlineStr">
        <is>
          <t xml:space="preserve">MF 8580</t>
        </is>
      </c>
    </row>
    <row r="118" spans="1:2" x14ac:dyDescent="0.35">
      <c r="A118" s="25" t="inlineStr">
        <is>
          <t xml:space="preserve">N24</t>
        </is>
      </c>
      <c r="B118" s="25" t="inlineStr">
        <is>
          <t xml:space="preserve">Digital Check</t>
        </is>
      </c>
    </row>
    <row r="119" spans="1:2" x14ac:dyDescent="0.35">
      <c r="A119" s="25" t="inlineStr">
        <is>
          <t xml:space="preserve">KNW</t>
        </is>
      </c>
      <c r="B119" s="25" t="inlineStr">
        <is>
          <t xml:space="preserve">Maxify GX4010</t>
        </is>
      </c>
    </row>
    <row r="120" spans="1:2" x14ac:dyDescent="0.35">
      <c r="A120" s="25" t="inlineStr">
        <is>
          <t xml:space="preserve">BHH</t>
        </is>
      </c>
      <c r="B120" s="25" t="inlineStr">
        <is>
          <t xml:space="preserve">TX 4000</t>
        </is>
      </c>
    </row>
    <row r="121" spans="1:2" x14ac:dyDescent="0.35">
      <c r="A121" s="25" t="inlineStr">
        <is>
          <t xml:space="preserve">JLY</t>
        </is>
      </c>
      <c r="B121" s="25" t="inlineStr">
        <is>
          <t xml:space="preserve">CA-190</t>
        </is>
      </c>
    </row>
    <row r="122" spans="1:2" x14ac:dyDescent="0.35">
      <c r="A122" s="25" t="inlineStr">
        <is>
          <t xml:space="preserve">2JH</t>
        </is>
      </c>
      <c r="B122" s="25" t="inlineStr">
        <is>
          <t xml:space="preserve">IR ADV 5550 III</t>
        </is>
      </c>
    </row>
    <row r="123" spans="1:2" x14ac:dyDescent="0.35">
      <c r="A123" s="25" t="inlineStr">
        <is>
          <t xml:space="preserve">32U</t>
        </is>
      </c>
      <c r="B123" s="25" t="inlineStr">
        <is>
          <t xml:space="preserve">IR ADV C3226i</t>
        </is>
      </c>
    </row>
    <row r="124" spans="1:2" x14ac:dyDescent="0.35">
      <c r="A124" s="25" t="inlineStr">
        <is>
          <t xml:space="preserve">4JB</t>
        </is>
      </c>
      <c r="B124" s="25" t="inlineStr">
        <is>
          <t xml:space="preserve">IR ADV DX C259iF</t>
        </is>
      </c>
    </row>
    <row r="125" spans="1:2" x14ac:dyDescent="0.35">
      <c r="A125" s="25" t="inlineStr">
        <is>
          <t xml:space="preserve">XUP</t>
        </is>
      </c>
      <c r="B125" s="25" t="inlineStr">
        <is>
          <t xml:space="preserve">IR ADV C5540i II</t>
        </is>
      </c>
    </row>
    <row r="126" spans="1:2" x14ac:dyDescent="0.35">
      <c r="A126" s="25" t="inlineStr">
        <is>
          <t xml:space="preserve">35B</t>
        </is>
      </c>
      <c r="B126" s="25" t="inlineStr">
        <is>
          <t xml:space="preserve">IR 1643iF II</t>
        </is>
      </c>
    </row>
    <row r="127" spans="1:2" x14ac:dyDescent="0.35">
      <c r="A127" s="25" t="inlineStr">
        <is>
          <t xml:space="preserve">THY</t>
        </is>
      </c>
      <c r="B127" s="25" t="inlineStr">
        <is>
          <t xml:space="preserve">IR 1023</t>
        </is>
      </c>
    </row>
    <row r="128" spans="1:2" x14ac:dyDescent="0.35">
      <c r="A128" s="25" t="inlineStr">
        <is>
          <t xml:space="preserve">HRN</t>
        </is>
      </c>
      <c r="B128" s="25" t="inlineStr">
        <is>
          <t xml:space="preserve">IR ADV 4045</t>
        </is>
      </c>
    </row>
    <row r="129" spans="1:2" x14ac:dyDescent="0.35">
      <c r="A129" s="25" t="inlineStr">
        <is>
          <t xml:space="preserve">QLK</t>
        </is>
      </c>
      <c r="B129" s="25" t="inlineStr">
        <is>
          <t xml:space="preserve">IR ADV 400iF</t>
        </is>
      </c>
    </row>
    <row r="130" spans="1:2" x14ac:dyDescent="0.35">
      <c r="A130" s="25" t="inlineStr">
        <is>
          <t xml:space="preserve">4HU</t>
        </is>
      </c>
      <c r="B130" s="25" t="inlineStr">
        <is>
          <t xml:space="preserve">IR ADV DX C359iF</t>
        </is>
      </c>
    </row>
    <row r="131" spans="1:2" x14ac:dyDescent="0.35">
      <c r="A131" s="25" t="inlineStr">
        <is>
          <t xml:space="preserve">KML</t>
        </is>
      </c>
      <c r="B131" s="25" t="inlineStr">
        <is>
          <t xml:space="preserve">PIXMA G7020</t>
        </is>
      </c>
    </row>
    <row r="132" spans="1:2" x14ac:dyDescent="0.35">
      <c r="A132" s="25" t="inlineStr">
        <is>
          <t xml:space="preserve">XT0</t>
        </is>
      </c>
      <c r="B132" s="25" t="inlineStr">
        <is>
          <t xml:space="preserve">IR ADV C3530i</t>
        </is>
      </c>
    </row>
    <row r="133" spans="1:2" x14ac:dyDescent="0.35">
      <c r="A133" s="25" t="inlineStr">
        <is>
          <t xml:space="preserve">3WG</t>
        </is>
      </c>
      <c r="B133" s="25" t="inlineStr">
        <is>
          <t xml:space="preserve">MF 751cdw</t>
        </is>
      </c>
    </row>
    <row r="134" spans="1:2" x14ac:dyDescent="0.35">
      <c r="A134" s="25" t="inlineStr">
        <is>
          <t xml:space="preserve">2TP</t>
        </is>
      </c>
      <c r="B134" s="25" t="inlineStr">
        <is>
          <t xml:space="preserve">IR 1643iF</t>
        </is>
      </c>
    </row>
    <row r="135" spans="1:2" x14ac:dyDescent="0.35">
      <c r="A135" s="25" t="inlineStr">
        <is>
          <t xml:space="preserve">DRL</t>
        </is>
      </c>
      <c r="B135" s="25" t="inlineStr">
        <is>
          <t xml:space="preserve">IR 1025IF</t>
        </is>
      </c>
    </row>
    <row r="136" spans="1:2" x14ac:dyDescent="0.35">
      <c r="A136" s="25" t="inlineStr">
        <is>
          <t xml:space="preserve">X97</t>
        </is>
      </c>
      <c r="B136" s="25" t="inlineStr">
        <is>
          <t xml:space="preserve">EPSON BRIGHTLITE 1485Fi+</t>
        </is>
      </c>
    </row>
    <row r="137" spans="1:2" x14ac:dyDescent="0.35">
      <c r="A137" s="25" t="inlineStr">
        <is>
          <t xml:space="preserve">GNW</t>
        </is>
      </c>
      <c r="B137" s="25" t="inlineStr">
        <is>
          <t xml:space="preserve">IR ADV C5035</t>
        </is>
      </c>
    </row>
    <row r="138" spans="1:2" x14ac:dyDescent="0.35">
      <c r="A138" s="25" t="inlineStr">
        <is>
          <t xml:space="preserve">WHE</t>
        </is>
      </c>
      <c r="B138" s="25" t="inlineStr">
        <is>
          <t xml:space="preserve">IR ADV C5560I</t>
        </is>
      </c>
    </row>
    <row r="139" spans="1:2" x14ac:dyDescent="0.35">
      <c r="A139" s="25" t="inlineStr">
        <is>
          <t xml:space="preserve">YKV</t>
        </is>
      </c>
      <c r="B139" s="25" t="inlineStr">
        <is>
          <t xml:space="preserve">imageCLASS MF653cdw</t>
        </is>
      </c>
    </row>
    <row r="140" spans="1:2" x14ac:dyDescent="0.35">
      <c r="A140" s="25" t="inlineStr">
        <is>
          <t xml:space="preserve">3QK</t>
        </is>
      </c>
      <c r="B140" s="25" t="inlineStr">
        <is>
          <t xml:space="preserve">imageCLASS MF644cdw</t>
        </is>
      </c>
    </row>
    <row r="141" spans="1:2" x14ac:dyDescent="0.35">
      <c r="A141" s="25" t="inlineStr">
        <is>
          <t xml:space="preserve">WTL</t>
        </is>
      </c>
      <c r="B141" s="25" t="inlineStr">
        <is>
          <t xml:space="preserve">MF735cdw</t>
        </is>
      </c>
    </row>
    <row r="142" spans="1:2" x14ac:dyDescent="0.35">
      <c r="A142" s="25" t="inlineStr">
        <is>
          <t xml:space="preserve">SKA</t>
        </is>
      </c>
      <c r="B142" s="25" t="inlineStr">
        <is>
          <t xml:space="preserve">IR ADV 6555i</t>
        </is>
      </c>
    </row>
    <row r="143" spans="1:2" x14ac:dyDescent="0.35">
      <c r="A143" s="25" t="inlineStr">
        <is>
          <t xml:space="preserve">JG3</t>
        </is>
      </c>
      <c r="B143" s="25" t="inlineStr">
        <is>
          <t xml:space="preserve">DR-G2110</t>
        </is>
      </c>
    </row>
    <row r="144" spans="1:2" x14ac:dyDescent="0.35">
      <c r="A144" s="25" t="inlineStr">
        <is>
          <t xml:space="preserve">2XX</t>
        </is>
      </c>
      <c r="B144" s="25" t="inlineStr">
        <is>
          <t xml:space="preserve">IR ADV DX C5850i</t>
        </is>
      </c>
    </row>
    <row r="145" spans="1:2" x14ac:dyDescent="0.35">
      <c r="A145" s="25" t="inlineStr">
        <is>
          <t xml:space="preserve">KNG</t>
        </is>
      </c>
      <c r="B145" s="25" t="inlineStr">
        <is>
          <t xml:space="preserve">G3110</t>
        </is>
      </c>
    </row>
    <row r="146" spans="1:2" x14ac:dyDescent="0.35">
      <c r="A146" s="25" t="inlineStr">
        <is>
          <t xml:space="preserve">MXD</t>
        </is>
      </c>
      <c r="B146" s="25" t="inlineStr">
        <is>
          <t xml:space="preserve">EPSON T88-V</t>
        </is>
      </c>
    </row>
    <row r="147" spans="1:2" x14ac:dyDescent="0.35">
      <c r="A147" s="25" t="inlineStr">
        <is>
          <t xml:space="preserve">4CQ</t>
        </is>
      </c>
      <c r="B147" s="25" t="inlineStr">
        <is>
          <t xml:space="preserve">IR ADV C3326</t>
        </is>
      </c>
    </row>
    <row r="148" spans="1:2" x14ac:dyDescent="0.35">
      <c r="A148" s="25" t="inlineStr">
        <is>
          <t xml:space="preserve">4GQ</t>
        </is>
      </c>
      <c r="B148" s="25" t="inlineStr">
        <is>
          <t xml:space="preserve">imageFORCE C5140</t>
        </is>
      </c>
    </row>
    <row r="149" spans="1:2" x14ac:dyDescent="0.35">
      <c r="A149" s="25" t="inlineStr">
        <is>
          <t xml:space="preserve">48J</t>
        </is>
      </c>
      <c r="B149" s="25" t="inlineStr">
        <is>
          <t xml:space="preserve">imageFORCE 710F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6902C-0A45-4A57-BF6D-3F9A299128A6}">
  <sheetPr codeName="Sheet12"/>
  <dimension ref="A1:V238"/>
  <sheetViews>
    <sheetView zoomScaleNormal="100" workbookViewId="0">
      <pane ySplit="6" topLeftCell="A7" activePane="bottomLeft" state="frozen"/>
      <selection pane="bottomLeft" sqref="A1:V1"/>
    </sheetView>
  </sheetViews>
  <sheetFormatPr defaultRowHeight="15" x14ac:dyDescent="0.25"/>
  <cols>
    <col min="1" max="2" width="8" customWidth="1"/>
    <col min="3" max="3" width="9.85546875" customWidth="1"/>
    <col min="4" max="4" width="21.5703125" customWidth="1"/>
    <col min="5" max="5" width="13.5703125" customWidth="1"/>
    <col min="6" max="6" width="10.42578125" bestFit="1" customWidth="1"/>
    <col min="7" max="7" width="11" customWidth="1"/>
    <col min="8" max="8" width="16.140625" bestFit="1" customWidth="1"/>
    <col min="9" max="9" width="19.5703125" customWidth="1"/>
    <col min="10" max="10" width="12.42578125" customWidth="1"/>
    <col min="11" max="11" width="12" customWidth="1"/>
    <col min="12" max="13" width="10.42578125" customWidth="1"/>
    <col min="14" max="14" width="11.42578125" customWidth="1"/>
    <col min="15" max="15" width="17.42578125" customWidth="1"/>
    <col min="16" max="16" width="15.5703125" customWidth="1"/>
    <col min="17" max="17" width="6.5703125" bestFit="1" customWidth="1"/>
    <col min="18" max="18" width="9" customWidth="1"/>
    <col min="19" max="19" width="12.42578125" customWidth="1"/>
    <col min="20" max="20" width="10.5703125" bestFit="1" customWidth="1"/>
    <col min="21" max="21" width="11.42578125" customWidth="1"/>
    <col min="22" max="22" width="31.85546875" customWidth="1"/>
  </cols>
  <sheetData>
    <row r="1" spans="1:22" ht="67.5" customHeight="1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</row>
    <row r="2" spans="1:22" x14ac:dyDescent="0.25">
      <c r="A2" s="27" t="s">
        <v>4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9"/>
    </row>
    <row r="3" spans="1:22" x14ac:dyDescent="0.25">
      <c r="A3" s="10" t="s">
        <v>5</v>
      </c>
      <c r="B3" s="10"/>
      <c r="C3" s="10"/>
      <c r="O3" s="10" t="s">
        <v>6</v>
      </c>
      <c r="P3" s="10" t="s">
        <v>7</v>
      </c>
      <c r="Q3" s="9"/>
      <c r="R3" s="9"/>
      <c r="S3" s="9"/>
      <c r="T3" s="9"/>
      <c r="U3" s="9"/>
      <c r="V3" s="11"/>
    </row>
    <row r="4" spans="1:22" x14ac:dyDescent="0.25">
      <c r="A4" s="5" t="s">
        <v>8</v>
      </c>
      <c r="B4" s="5"/>
      <c r="C4" s="6">
        <v>44795</v>
      </c>
      <c r="O4" s="9"/>
      <c r="P4" s="9"/>
      <c r="Q4" s="9"/>
      <c r="R4" s="9"/>
      <c r="S4" s="9"/>
      <c r="T4" s="9"/>
      <c r="U4" s="9"/>
      <c r="V4" s="9"/>
    </row>
    <row r="6" spans="1:22" ht="30" x14ac:dyDescent="0.25">
      <c r="A6" s="1" t="s">
        <v>9</v>
      </c>
      <c r="B6" s="1" t="s">
        <v>10</v>
      </c>
      <c r="C6" t="s">
        <v>11</v>
      </c>
      <c r="D6" t="s">
        <v>12</v>
      </c>
      <c r="E6" t="s">
        <v>13</v>
      </c>
      <c r="F6" s="1" t="s">
        <v>14</v>
      </c>
      <c r="G6" s="1" t="s">
        <v>15</v>
      </c>
      <c r="H6" t="s">
        <v>16</v>
      </c>
      <c r="I6" t="s">
        <v>17</v>
      </c>
      <c r="J6" t="s">
        <v>18</v>
      </c>
      <c r="K6" s="1" t="s">
        <v>19</v>
      </c>
      <c r="L6" s="1" t="s">
        <v>20</v>
      </c>
      <c r="M6" s="1" t="s">
        <v>21</v>
      </c>
      <c r="N6" s="1" t="s">
        <v>23</v>
      </c>
      <c r="O6" t="s">
        <v>24</v>
      </c>
      <c r="P6" t="s">
        <v>38</v>
      </c>
      <c r="Q6" t="s">
        <v>26</v>
      </c>
      <c r="R6" t="s">
        <v>27</v>
      </c>
      <c r="S6" s="1" t="s">
        <v>28</v>
      </c>
      <c r="T6" s="1" t="s">
        <v>29</v>
      </c>
      <c r="U6" s="1" t="s">
        <v>30</v>
      </c>
      <c r="V6" t="s">
        <v>32</v>
      </c>
    </row>
    <row r="7" spans="1:22" x14ac:dyDescent="0.25">
      <c r="A7" s="4"/>
      <c r="B7" s="4"/>
      <c r="C7" s="3"/>
      <c r="D7" s="1"/>
      <c r="E7" s="1"/>
      <c r="J7" s="8"/>
      <c r="L7" s="2"/>
      <c r="M7" s="2"/>
      <c r="O7" s="1"/>
      <c r="P7" s="1"/>
      <c r="Q7" s="1"/>
      <c r="T7" s="7"/>
      <c r="U7" s="1"/>
      <c r="V7" s="1"/>
    </row>
    <row r="8" spans="1:22" x14ac:dyDescent="0.25">
      <c r="A8" s="4"/>
      <c r="B8" s="4"/>
      <c r="C8" s="3"/>
      <c r="D8" s="1"/>
      <c r="E8" s="1"/>
      <c r="J8" s="8"/>
      <c r="L8" s="2"/>
      <c r="M8" s="2"/>
      <c r="O8" s="1"/>
      <c r="P8" s="1"/>
      <c r="Q8" s="1"/>
      <c r="T8" s="7"/>
      <c r="U8" s="1"/>
      <c r="V8" s="1"/>
    </row>
    <row r="9" spans="1:22" x14ac:dyDescent="0.25">
      <c r="A9" s="4"/>
      <c r="B9" s="4"/>
      <c r="C9" s="3"/>
      <c r="D9" s="1"/>
      <c r="E9" s="1"/>
      <c r="J9" s="8"/>
      <c r="L9" s="2"/>
      <c r="M9" s="2"/>
      <c r="O9" s="1"/>
      <c r="P9" s="1"/>
      <c r="Q9" s="1"/>
      <c r="T9" s="7"/>
      <c r="U9" s="1"/>
      <c r="V9" s="1"/>
    </row>
    <row r="10" spans="1:22" x14ac:dyDescent="0.25">
      <c r="A10" s="4"/>
      <c r="B10" s="4"/>
      <c r="C10" s="3"/>
      <c r="D10" s="1"/>
      <c r="E10" s="1"/>
      <c r="J10" s="8"/>
      <c r="L10" s="2"/>
      <c r="M10" s="2"/>
      <c r="O10" s="1"/>
      <c r="P10" s="1"/>
      <c r="Q10" s="1"/>
      <c r="T10" s="7"/>
      <c r="U10" s="1"/>
      <c r="V10" s="1"/>
    </row>
    <row r="11" spans="1:22" x14ac:dyDescent="0.25">
      <c r="A11" s="4"/>
      <c r="B11" s="4"/>
      <c r="C11" s="3"/>
      <c r="D11" s="1"/>
      <c r="E11" s="1"/>
      <c r="J11" s="8"/>
      <c r="L11" s="2"/>
      <c r="M11" s="2"/>
      <c r="O11" s="1"/>
      <c r="P11" s="1"/>
      <c r="Q11" s="1"/>
      <c r="T11" s="7"/>
      <c r="U11" s="1"/>
      <c r="V11" s="1"/>
    </row>
    <row r="12" spans="1:22" x14ac:dyDescent="0.25">
      <c r="A12" s="4"/>
      <c r="B12" s="4"/>
      <c r="C12" s="3"/>
      <c r="D12" s="1"/>
      <c r="E12" s="1"/>
      <c r="J12" s="8"/>
      <c r="L12" s="2"/>
      <c r="M12" s="2"/>
      <c r="T12" s="7"/>
      <c r="U12" s="1"/>
      <c r="V12" s="1"/>
    </row>
    <row r="13" spans="1:22" x14ac:dyDescent="0.25">
      <c r="A13" s="4"/>
      <c r="B13" s="4"/>
      <c r="C13" s="3"/>
      <c r="D13" s="1"/>
      <c r="E13" s="1"/>
      <c r="J13" s="8"/>
      <c r="L13" s="2"/>
      <c r="M13" s="2"/>
      <c r="O13" s="1"/>
      <c r="P13" s="1"/>
      <c r="Q13" s="1"/>
      <c r="T13" s="7"/>
      <c r="U13" s="1"/>
      <c r="V13" s="1"/>
    </row>
    <row r="14" spans="1:22" x14ac:dyDescent="0.25">
      <c r="A14" s="4"/>
      <c r="B14" s="4"/>
      <c r="C14" s="3"/>
      <c r="D14" s="1"/>
      <c r="E14" s="1"/>
      <c r="J14" s="8"/>
      <c r="L14" s="2"/>
      <c r="M14" s="2"/>
      <c r="O14" s="1"/>
      <c r="P14" s="1"/>
      <c r="Q14" s="1"/>
      <c r="T14" s="7"/>
      <c r="U14" s="1"/>
      <c r="V14" s="1"/>
    </row>
    <row r="15" spans="1:22" x14ac:dyDescent="0.25">
      <c r="A15" s="4"/>
      <c r="B15" s="4"/>
      <c r="C15" s="3"/>
      <c r="D15" s="1"/>
      <c r="E15" s="1"/>
      <c r="J15" s="8"/>
      <c r="L15" s="2"/>
      <c r="M15" s="2"/>
      <c r="O15" s="1"/>
      <c r="P15" s="1"/>
      <c r="Q15" s="1"/>
      <c r="T15" s="7"/>
      <c r="U15" s="1"/>
      <c r="V15" s="1"/>
    </row>
    <row r="16" spans="1:22" x14ac:dyDescent="0.25">
      <c r="A16" s="4"/>
      <c r="B16" s="4"/>
      <c r="C16" s="3"/>
      <c r="D16" s="1"/>
      <c r="E16" s="1"/>
      <c r="J16" s="8"/>
      <c r="L16" s="2"/>
      <c r="M16" s="2"/>
      <c r="P16" s="1"/>
      <c r="Q16" s="1"/>
      <c r="T16" s="7"/>
      <c r="U16" s="1"/>
      <c r="V16" s="1"/>
    </row>
    <row r="17" spans="1:22" x14ac:dyDescent="0.25">
      <c r="A17" s="4"/>
      <c r="B17" s="4"/>
      <c r="C17" s="3"/>
      <c r="D17" s="1"/>
      <c r="E17" s="1"/>
      <c r="J17" s="8"/>
      <c r="L17" s="2"/>
      <c r="M17" s="2"/>
      <c r="O17" s="1"/>
      <c r="P17" s="1"/>
      <c r="Q17" s="1"/>
      <c r="T17" s="7"/>
      <c r="U17" s="1"/>
      <c r="V17" s="1"/>
    </row>
    <row r="18" spans="1:22" x14ac:dyDescent="0.25">
      <c r="A18" s="4"/>
      <c r="B18" s="4"/>
      <c r="C18" s="3"/>
      <c r="D18" s="1"/>
      <c r="E18" s="1"/>
      <c r="J18" s="8"/>
      <c r="L18" s="2"/>
      <c r="M18" s="2"/>
      <c r="O18" s="1"/>
      <c r="P18" s="1"/>
      <c r="Q18" s="1"/>
      <c r="T18" s="7"/>
      <c r="U18" s="1"/>
      <c r="V18" s="1"/>
    </row>
    <row r="19" spans="1:22" x14ac:dyDescent="0.25">
      <c r="A19" s="4"/>
      <c r="B19" s="4"/>
      <c r="C19" s="3"/>
      <c r="D19" s="1"/>
      <c r="E19" s="1"/>
      <c r="J19" s="8"/>
      <c r="L19" s="2"/>
      <c r="M19" s="2"/>
      <c r="O19" s="1"/>
      <c r="P19" s="1"/>
      <c r="Q19" s="1"/>
      <c r="T19" s="7"/>
      <c r="U19" s="1"/>
      <c r="V19" s="1"/>
    </row>
    <row r="20" spans="1:22" x14ac:dyDescent="0.25">
      <c r="A20" s="4"/>
      <c r="B20" s="4"/>
      <c r="C20" s="3"/>
      <c r="D20" s="1"/>
      <c r="E20" s="1"/>
      <c r="J20" s="8"/>
      <c r="L20" s="2"/>
      <c r="M20" s="2"/>
      <c r="O20" s="1"/>
      <c r="P20" s="1"/>
      <c r="Q20" s="1"/>
      <c r="T20" s="7"/>
      <c r="U20" s="1"/>
      <c r="V20" s="1"/>
    </row>
    <row r="21" spans="1:22" x14ac:dyDescent="0.25">
      <c r="A21" s="4"/>
      <c r="B21" s="4"/>
      <c r="C21" s="3"/>
      <c r="D21" s="1"/>
      <c r="E21" s="1"/>
      <c r="J21" s="8"/>
      <c r="L21" s="2"/>
      <c r="M21" s="2"/>
      <c r="O21" s="1"/>
      <c r="P21" s="1"/>
      <c r="Q21" s="1"/>
      <c r="T21" s="7"/>
      <c r="U21" s="1"/>
      <c r="V21" s="1"/>
    </row>
    <row r="22" spans="1:22" x14ac:dyDescent="0.25">
      <c r="A22" s="4"/>
      <c r="B22" s="4"/>
      <c r="C22" s="3"/>
      <c r="D22" s="1"/>
      <c r="E22" s="1"/>
      <c r="J22" s="8"/>
      <c r="L22" s="2"/>
      <c r="M22" s="2"/>
      <c r="T22" s="7"/>
      <c r="U22" s="1"/>
      <c r="V22" s="1"/>
    </row>
    <row r="23" spans="1:22" x14ac:dyDescent="0.25">
      <c r="A23" s="4"/>
      <c r="B23" s="4"/>
      <c r="C23" s="3"/>
      <c r="D23" s="1"/>
      <c r="E23" s="1"/>
      <c r="J23" s="8"/>
      <c r="L23" s="2"/>
      <c r="M23" s="2"/>
      <c r="O23" s="1"/>
      <c r="P23" s="1"/>
      <c r="Q23" s="1"/>
      <c r="T23" s="7"/>
      <c r="U23" s="1"/>
      <c r="V23" s="1"/>
    </row>
    <row r="24" spans="1:22" x14ac:dyDescent="0.25">
      <c r="A24" s="4"/>
      <c r="B24" s="4"/>
      <c r="C24" s="3"/>
      <c r="D24" s="1"/>
      <c r="E24" s="1"/>
      <c r="J24" s="8"/>
      <c r="L24" s="2"/>
      <c r="M24" s="2"/>
      <c r="T24" s="7"/>
      <c r="U24" s="1"/>
      <c r="V24" s="1"/>
    </row>
    <row r="25" spans="1:22" x14ac:dyDescent="0.25">
      <c r="A25" s="4"/>
      <c r="B25" s="4"/>
      <c r="C25" s="3"/>
      <c r="D25" s="1"/>
      <c r="E25" s="1"/>
      <c r="J25" s="8"/>
      <c r="L25" s="2"/>
      <c r="M25" s="2"/>
      <c r="P25" s="1"/>
      <c r="Q25" s="1"/>
      <c r="T25" s="7"/>
      <c r="U25" s="1"/>
      <c r="V25" s="1"/>
    </row>
    <row r="26" spans="1:22" x14ac:dyDescent="0.25">
      <c r="A26" s="4"/>
      <c r="B26" s="4"/>
      <c r="C26" s="3"/>
      <c r="D26" s="1"/>
      <c r="E26" s="1"/>
      <c r="J26" s="8"/>
      <c r="L26" s="2"/>
      <c r="M26" s="2"/>
      <c r="T26" s="7"/>
      <c r="U26" s="1"/>
      <c r="V26" s="1"/>
    </row>
    <row r="27" spans="1:22" x14ac:dyDescent="0.25">
      <c r="A27" s="4"/>
      <c r="B27" s="4"/>
      <c r="C27" s="3"/>
      <c r="D27" s="1"/>
      <c r="E27" s="1"/>
      <c r="J27" s="8"/>
      <c r="L27" s="2"/>
      <c r="M27" s="2"/>
      <c r="O27" s="1"/>
      <c r="P27" s="1"/>
      <c r="Q27" s="1"/>
      <c r="T27" s="7"/>
      <c r="U27" s="1"/>
      <c r="V27" s="1"/>
    </row>
    <row r="28" spans="1:22" x14ac:dyDescent="0.25">
      <c r="A28" s="4"/>
      <c r="B28" s="4"/>
      <c r="C28" s="3"/>
      <c r="D28" s="1"/>
      <c r="E28" s="1"/>
      <c r="J28" s="8"/>
      <c r="L28" s="2"/>
      <c r="M28" s="2"/>
      <c r="P28" s="1"/>
      <c r="Q28" s="1"/>
      <c r="T28" s="7"/>
      <c r="U28" s="1"/>
      <c r="V28" s="1"/>
    </row>
    <row r="29" spans="1:22" x14ac:dyDescent="0.25">
      <c r="A29" s="4"/>
      <c r="B29" s="4"/>
      <c r="C29" s="3"/>
      <c r="D29" s="1"/>
      <c r="E29" s="1"/>
      <c r="J29" s="8"/>
      <c r="L29" s="2"/>
      <c r="M29" s="2"/>
      <c r="O29" s="1"/>
      <c r="P29" s="1"/>
      <c r="Q29" s="1"/>
      <c r="T29" s="7"/>
      <c r="U29" s="1"/>
      <c r="V29" s="1"/>
    </row>
    <row r="30" spans="1:22" x14ac:dyDescent="0.25">
      <c r="A30" s="4"/>
      <c r="B30" s="4"/>
      <c r="C30" s="3"/>
      <c r="D30" s="1"/>
      <c r="E30" s="1"/>
      <c r="J30" s="8"/>
      <c r="L30" s="2"/>
      <c r="M30" s="2"/>
      <c r="O30" s="1"/>
      <c r="P30" s="1"/>
      <c r="Q30" s="1"/>
      <c r="T30" s="7"/>
      <c r="U30" s="1"/>
      <c r="V30" s="1"/>
    </row>
    <row r="31" spans="1:22" x14ac:dyDescent="0.25">
      <c r="A31" s="4"/>
      <c r="B31" s="4"/>
      <c r="C31" s="3"/>
      <c r="D31" s="1"/>
      <c r="E31" s="1"/>
      <c r="J31" s="8"/>
      <c r="L31" s="2"/>
      <c r="M31" s="2"/>
      <c r="T31" s="7"/>
      <c r="U31" s="1"/>
      <c r="V31" s="1"/>
    </row>
    <row r="32" spans="1:22" x14ac:dyDescent="0.25">
      <c r="A32" s="4"/>
      <c r="B32" s="4"/>
      <c r="C32" s="3"/>
      <c r="D32" s="1"/>
      <c r="E32" s="1"/>
      <c r="J32" s="8"/>
      <c r="L32" s="2"/>
      <c r="M32" s="2"/>
      <c r="O32" s="1"/>
      <c r="P32" s="1"/>
      <c r="Q32" s="1"/>
      <c r="T32" s="7"/>
      <c r="U32" s="1"/>
      <c r="V32" s="1"/>
    </row>
    <row r="33" spans="1:22" x14ac:dyDescent="0.25">
      <c r="A33" s="4"/>
      <c r="B33" s="4"/>
      <c r="C33" s="3"/>
      <c r="D33" s="1"/>
      <c r="E33" s="1"/>
      <c r="J33" s="8"/>
      <c r="L33" s="2"/>
      <c r="M33" s="2"/>
      <c r="T33" s="7"/>
      <c r="U33" s="1"/>
      <c r="V33" s="1"/>
    </row>
    <row r="34" spans="1:22" x14ac:dyDescent="0.25">
      <c r="A34" s="4"/>
      <c r="B34" s="4"/>
      <c r="C34" s="3"/>
      <c r="D34" s="1"/>
      <c r="E34" s="1"/>
      <c r="J34" s="8"/>
      <c r="L34" s="2"/>
      <c r="M34" s="2"/>
      <c r="O34" s="1"/>
      <c r="P34" s="1"/>
      <c r="Q34" s="1"/>
      <c r="T34" s="7"/>
      <c r="U34" s="1"/>
      <c r="V34" s="1"/>
    </row>
    <row r="35" spans="1:22" x14ac:dyDescent="0.25">
      <c r="A35" s="4"/>
      <c r="B35" s="4"/>
      <c r="C35" s="3"/>
      <c r="D35" s="1"/>
      <c r="E35" s="1"/>
      <c r="J35" s="8"/>
      <c r="L35" s="2"/>
      <c r="M35" s="2"/>
      <c r="O35" s="1"/>
      <c r="P35" s="1"/>
      <c r="Q35" s="1"/>
      <c r="T35" s="7"/>
      <c r="U35" s="1"/>
      <c r="V35" s="1"/>
    </row>
    <row r="36" spans="1:22" x14ac:dyDescent="0.25">
      <c r="A36" s="4"/>
      <c r="B36" s="4"/>
      <c r="C36" s="3"/>
      <c r="D36" s="1"/>
      <c r="E36" s="1"/>
      <c r="J36" s="8"/>
      <c r="L36" s="2"/>
      <c r="M36" s="2"/>
      <c r="T36" s="7"/>
      <c r="U36" s="1"/>
      <c r="V36" s="1"/>
    </row>
    <row r="37" spans="1:22" x14ac:dyDescent="0.25">
      <c r="A37" s="4"/>
      <c r="B37" s="4"/>
      <c r="C37" s="3"/>
      <c r="D37" s="1"/>
      <c r="E37" s="1"/>
      <c r="J37" s="8"/>
      <c r="L37" s="2"/>
      <c r="M37" s="2"/>
      <c r="O37" s="1"/>
      <c r="P37" s="1"/>
      <c r="Q37" s="1"/>
      <c r="T37" s="7"/>
      <c r="U37" s="1"/>
      <c r="V37" s="1"/>
    </row>
    <row r="38" spans="1:22" x14ac:dyDescent="0.25">
      <c r="A38" s="4"/>
      <c r="B38" s="4"/>
      <c r="C38" s="3"/>
      <c r="D38" s="1"/>
      <c r="E38" s="1"/>
      <c r="J38" s="8"/>
      <c r="L38" s="2"/>
      <c r="M38" s="2"/>
      <c r="O38" s="1"/>
      <c r="P38" s="1"/>
      <c r="Q38" s="1"/>
      <c r="T38" s="7"/>
      <c r="U38" s="1"/>
      <c r="V38" s="1"/>
    </row>
    <row r="39" spans="1:22" x14ac:dyDescent="0.25">
      <c r="A39" s="4"/>
      <c r="B39" s="4"/>
      <c r="C39" s="3"/>
      <c r="D39" s="1"/>
      <c r="E39" s="1"/>
      <c r="J39" s="8"/>
      <c r="L39" s="2"/>
      <c r="M39" s="2"/>
      <c r="T39" s="7"/>
      <c r="U39" s="1"/>
      <c r="V39" s="1"/>
    </row>
    <row r="40" spans="1:22" x14ac:dyDescent="0.25">
      <c r="A40" s="4"/>
      <c r="B40" s="4"/>
      <c r="C40" s="3"/>
      <c r="D40" s="1"/>
      <c r="E40" s="1"/>
      <c r="J40" s="8"/>
      <c r="L40" s="2"/>
      <c r="M40" s="2"/>
      <c r="T40" s="7"/>
      <c r="U40" s="1"/>
      <c r="V40" s="1"/>
    </row>
    <row r="41" spans="1:22" x14ac:dyDescent="0.25">
      <c r="A41" s="4"/>
      <c r="B41" s="4"/>
      <c r="C41" s="3"/>
      <c r="D41" s="1"/>
      <c r="E41" s="1"/>
      <c r="J41" s="8"/>
      <c r="L41" s="2"/>
      <c r="M41" s="2"/>
      <c r="T41" s="7"/>
      <c r="U41" s="1"/>
      <c r="V41" s="1"/>
    </row>
    <row r="42" spans="1:22" x14ac:dyDescent="0.25">
      <c r="A42" s="4"/>
      <c r="B42" s="4"/>
      <c r="C42" s="3"/>
      <c r="D42" s="1"/>
      <c r="E42" s="1"/>
      <c r="J42" s="8"/>
      <c r="L42" s="2"/>
      <c r="M42" s="2"/>
      <c r="P42" s="1"/>
      <c r="T42" s="7"/>
      <c r="U42" s="1"/>
      <c r="V42" s="1"/>
    </row>
    <row r="43" spans="1:22" x14ac:dyDescent="0.25">
      <c r="A43" s="4"/>
      <c r="B43" s="4"/>
      <c r="C43" s="3"/>
      <c r="D43" s="1"/>
      <c r="E43" s="1"/>
      <c r="J43" s="8"/>
      <c r="L43" s="2"/>
      <c r="M43" s="2"/>
      <c r="T43" s="7"/>
      <c r="U43" s="1"/>
      <c r="V43" s="1"/>
    </row>
    <row r="44" spans="1:22" x14ac:dyDescent="0.25">
      <c r="A44" s="4"/>
      <c r="B44" s="4"/>
      <c r="C44" s="3"/>
      <c r="D44" s="1"/>
      <c r="E44" s="1"/>
      <c r="J44" s="8"/>
      <c r="L44" s="2"/>
      <c r="M44" s="2"/>
      <c r="T44" s="7"/>
      <c r="U44" s="1"/>
      <c r="V44" s="1"/>
    </row>
    <row r="45" spans="1:22" x14ac:dyDescent="0.25">
      <c r="A45" s="4"/>
      <c r="B45" s="4"/>
      <c r="C45" s="3"/>
      <c r="D45" s="1"/>
      <c r="E45" s="1"/>
      <c r="J45" s="8"/>
      <c r="L45" s="2"/>
      <c r="M45" s="2"/>
      <c r="T45" s="7"/>
      <c r="U45" s="1"/>
      <c r="V45" s="1"/>
    </row>
    <row r="46" spans="1:22" x14ac:dyDescent="0.25">
      <c r="A46" s="4"/>
      <c r="B46" s="4"/>
      <c r="C46" s="3"/>
      <c r="D46" s="1"/>
      <c r="E46" s="1"/>
      <c r="J46" s="8"/>
      <c r="L46" s="2"/>
      <c r="M46" s="2"/>
      <c r="O46" s="1"/>
      <c r="P46" s="1"/>
      <c r="Q46" s="1"/>
      <c r="T46" s="7"/>
      <c r="U46" s="1"/>
      <c r="V46" s="1"/>
    </row>
    <row r="47" spans="1:22" x14ac:dyDescent="0.25">
      <c r="A47" s="4"/>
      <c r="B47" s="4"/>
      <c r="C47" s="3"/>
      <c r="D47" s="1"/>
      <c r="E47" s="1"/>
      <c r="J47" s="8"/>
      <c r="L47" s="2"/>
      <c r="M47" s="2"/>
      <c r="P47" s="1"/>
      <c r="T47" s="7"/>
      <c r="U47" s="1"/>
      <c r="V47" s="1"/>
    </row>
    <row r="48" spans="1:22" x14ac:dyDescent="0.25">
      <c r="A48" s="4"/>
      <c r="B48" s="4"/>
      <c r="C48" s="3"/>
      <c r="D48" s="1"/>
      <c r="E48" s="1"/>
      <c r="J48" s="8"/>
      <c r="L48" s="2"/>
      <c r="M48" s="2"/>
      <c r="O48" s="1"/>
      <c r="P48" s="1"/>
      <c r="Q48" s="1"/>
      <c r="T48" s="7"/>
      <c r="U48" s="1"/>
      <c r="V48" s="1"/>
    </row>
    <row r="49" spans="1:22" x14ac:dyDescent="0.25">
      <c r="A49" s="4"/>
      <c r="B49" s="4"/>
      <c r="C49" s="3"/>
      <c r="D49" s="1"/>
      <c r="E49" s="1"/>
      <c r="J49" s="8"/>
      <c r="L49" s="2"/>
      <c r="M49" s="2"/>
      <c r="O49" s="1"/>
      <c r="P49" s="1"/>
      <c r="Q49" s="1"/>
      <c r="T49" s="7"/>
      <c r="U49" s="1"/>
      <c r="V49" s="1"/>
    </row>
    <row r="50" spans="1:22" x14ac:dyDescent="0.25">
      <c r="A50" s="4"/>
      <c r="B50" s="4"/>
      <c r="C50" s="3"/>
      <c r="D50" s="1"/>
      <c r="E50" s="1"/>
      <c r="J50" s="8"/>
      <c r="L50" s="2"/>
      <c r="M50" s="2"/>
      <c r="T50" s="7"/>
      <c r="U50" s="1"/>
      <c r="V50" s="1"/>
    </row>
    <row r="51" spans="1:22" x14ac:dyDescent="0.25">
      <c r="A51" s="4"/>
      <c r="B51" s="4"/>
      <c r="C51" s="3"/>
      <c r="D51" s="1"/>
      <c r="E51" s="1"/>
      <c r="J51" s="8"/>
      <c r="L51" s="2"/>
      <c r="M51" s="2"/>
      <c r="T51" s="7"/>
      <c r="U51" s="1"/>
      <c r="V51" s="1"/>
    </row>
    <row r="52" spans="1:22" x14ac:dyDescent="0.25">
      <c r="A52" s="4"/>
      <c r="B52" s="4"/>
      <c r="C52" s="3"/>
      <c r="D52" s="1"/>
      <c r="E52" s="1"/>
      <c r="J52" s="8"/>
      <c r="L52" s="2"/>
      <c r="M52" s="2"/>
      <c r="T52" s="7"/>
      <c r="U52" s="1"/>
      <c r="V52" s="1"/>
    </row>
    <row r="53" spans="1:22" x14ac:dyDescent="0.25">
      <c r="A53" s="4"/>
      <c r="B53" s="4"/>
      <c r="C53" s="3"/>
      <c r="D53" s="1"/>
      <c r="E53" s="1"/>
      <c r="J53" s="8"/>
      <c r="L53" s="2"/>
      <c r="M53" s="2"/>
      <c r="O53" s="1"/>
      <c r="P53" s="1"/>
      <c r="Q53" s="1"/>
      <c r="T53" s="7"/>
      <c r="U53" s="1"/>
      <c r="V53" s="1"/>
    </row>
    <row r="54" spans="1:22" x14ac:dyDescent="0.25">
      <c r="A54" s="4"/>
      <c r="B54" s="4"/>
      <c r="C54" s="3"/>
      <c r="D54" s="1"/>
      <c r="E54" s="1"/>
      <c r="J54" s="8"/>
      <c r="L54" s="2"/>
      <c r="M54" s="2"/>
      <c r="P54" s="1"/>
      <c r="T54" s="7"/>
      <c r="U54" s="1"/>
      <c r="V54" s="1"/>
    </row>
    <row r="55" spans="1:22" x14ac:dyDescent="0.25">
      <c r="A55" s="4"/>
      <c r="B55" s="4"/>
      <c r="C55" s="3"/>
      <c r="D55" s="1"/>
      <c r="E55" s="1"/>
      <c r="J55" s="8"/>
      <c r="L55" s="2"/>
      <c r="M55" s="2"/>
      <c r="O55" s="1"/>
      <c r="P55" s="1"/>
      <c r="Q55" s="1"/>
      <c r="T55" s="7"/>
      <c r="U55" s="1"/>
      <c r="V55" s="1"/>
    </row>
    <row r="56" spans="1:22" x14ac:dyDescent="0.25">
      <c r="A56" s="4"/>
      <c r="B56" s="4"/>
      <c r="C56" s="3"/>
      <c r="D56" s="1"/>
      <c r="E56" s="1"/>
      <c r="J56" s="8"/>
      <c r="L56" s="2"/>
      <c r="M56" s="2"/>
      <c r="T56" s="7"/>
      <c r="U56" s="1"/>
      <c r="V56" s="1"/>
    </row>
    <row r="57" spans="1:22" x14ac:dyDescent="0.25">
      <c r="A57" s="4"/>
      <c r="B57" s="4"/>
      <c r="C57" s="3"/>
      <c r="D57" s="1"/>
      <c r="E57" s="1"/>
      <c r="J57" s="8"/>
      <c r="L57" s="2"/>
      <c r="M57" s="2"/>
      <c r="O57" s="1"/>
      <c r="P57" s="1"/>
      <c r="Q57" s="1"/>
      <c r="T57" s="7"/>
      <c r="U57" s="1"/>
      <c r="V57" s="1"/>
    </row>
    <row r="58" spans="1:22" x14ac:dyDescent="0.25">
      <c r="A58" s="4"/>
      <c r="B58" s="4"/>
      <c r="C58" s="3"/>
      <c r="D58" s="1"/>
      <c r="E58" s="1"/>
      <c r="J58" s="8"/>
      <c r="L58" s="2"/>
      <c r="M58" s="2"/>
      <c r="T58" s="7"/>
      <c r="U58" s="1"/>
      <c r="V58" s="1"/>
    </row>
    <row r="59" spans="1:22" x14ac:dyDescent="0.25">
      <c r="A59" s="4"/>
      <c r="B59" s="4"/>
      <c r="C59" s="3"/>
      <c r="D59" s="1"/>
      <c r="E59" s="1"/>
      <c r="J59" s="8"/>
      <c r="L59" s="2"/>
      <c r="M59" s="2"/>
      <c r="O59" s="1"/>
      <c r="P59" s="1"/>
      <c r="Q59" s="1"/>
      <c r="T59" s="7"/>
      <c r="U59" s="1"/>
      <c r="V59" s="1"/>
    </row>
    <row r="60" spans="1:22" x14ac:dyDescent="0.25">
      <c r="A60" s="4"/>
      <c r="B60" s="4"/>
      <c r="C60" s="3"/>
      <c r="D60" s="1"/>
      <c r="E60" s="1"/>
      <c r="J60" s="8"/>
      <c r="L60" s="2"/>
      <c r="M60" s="2"/>
      <c r="T60" s="7"/>
      <c r="U60" s="1"/>
      <c r="V60" s="1"/>
    </row>
    <row r="61" spans="1:22" x14ac:dyDescent="0.25">
      <c r="A61" s="4"/>
      <c r="B61" s="4"/>
      <c r="C61" s="3"/>
      <c r="D61" s="1"/>
      <c r="E61" s="1"/>
      <c r="J61" s="8"/>
      <c r="L61" s="2"/>
      <c r="M61" s="2"/>
      <c r="T61" s="7"/>
      <c r="U61" s="1"/>
      <c r="V61" s="1"/>
    </row>
    <row r="62" spans="1:22" x14ac:dyDescent="0.25">
      <c r="A62" s="4"/>
      <c r="B62" s="4"/>
      <c r="C62" s="3"/>
      <c r="D62" s="1"/>
      <c r="E62" s="1"/>
      <c r="J62" s="8"/>
      <c r="L62" s="2"/>
      <c r="M62" s="2"/>
      <c r="O62" s="1"/>
      <c r="P62" s="1"/>
      <c r="Q62" s="1"/>
      <c r="T62" s="7"/>
      <c r="U62" s="1"/>
      <c r="V62" s="1"/>
    </row>
    <row r="63" spans="1:22" x14ac:dyDescent="0.25">
      <c r="A63" s="4"/>
      <c r="B63" s="4"/>
      <c r="C63" s="3"/>
      <c r="D63" s="1"/>
      <c r="E63" s="1"/>
      <c r="J63" s="8"/>
      <c r="L63" s="2"/>
      <c r="M63" s="2"/>
      <c r="P63" s="1"/>
      <c r="Q63" s="1"/>
      <c r="T63" s="7"/>
      <c r="U63" s="1"/>
      <c r="V63" s="1"/>
    </row>
    <row r="64" spans="1:22" x14ac:dyDescent="0.25">
      <c r="A64" s="4"/>
      <c r="B64" s="4"/>
      <c r="C64" s="3"/>
      <c r="D64" s="1"/>
      <c r="E64" s="1"/>
      <c r="J64" s="8"/>
      <c r="L64" s="2"/>
      <c r="M64" s="2"/>
      <c r="T64" s="7"/>
      <c r="U64" s="1"/>
      <c r="V64" s="1"/>
    </row>
    <row r="65" spans="1:22" x14ac:dyDescent="0.25">
      <c r="A65" s="4"/>
      <c r="B65" s="4"/>
      <c r="C65" s="3"/>
      <c r="D65" s="1"/>
      <c r="E65" s="1"/>
      <c r="J65" s="8"/>
      <c r="L65" s="2"/>
      <c r="M65" s="2"/>
      <c r="P65" s="1"/>
      <c r="Q65" s="1"/>
      <c r="T65" s="7"/>
      <c r="U65" s="1"/>
      <c r="V65" s="1"/>
    </row>
    <row r="66" spans="1:22" x14ac:dyDescent="0.25">
      <c r="A66" s="4"/>
      <c r="B66" s="4"/>
      <c r="C66" s="3"/>
      <c r="D66" s="1"/>
      <c r="E66" s="1"/>
      <c r="J66" s="8"/>
      <c r="L66" s="2"/>
      <c r="M66" s="2"/>
      <c r="T66" s="7"/>
      <c r="U66" s="1"/>
      <c r="V66" s="1"/>
    </row>
    <row r="67" spans="1:22" x14ac:dyDescent="0.25">
      <c r="A67" s="4"/>
      <c r="B67" s="4"/>
      <c r="C67" s="3"/>
      <c r="D67" s="1"/>
      <c r="E67" s="1"/>
      <c r="J67" s="8"/>
      <c r="L67" s="2"/>
      <c r="M67" s="2"/>
      <c r="P67" s="1"/>
      <c r="Q67" s="1"/>
      <c r="T67" s="7"/>
      <c r="U67" s="1"/>
      <c r="V67" s="1"/>
    </row>
    <row r="68" spans="1:22" x14ac:dyDescent="0.25">
      <c r="A68" s="4"/>
      <c r="B68" s="4"/>
      <c r="C68" s="3"/>
      <c r="D68" s="1"/>
      <c r="E68" s="1"/>
      <c r="J68" s="8"/>
      <c r="L68" s="2"/>
      <c r="M68" s="2"/>
      <c r="P68" s="1"/>
      <c r="T68" s="7"/>
      <c r="U68" s="1"/>
      <c r="V68" s="1"/>
    </row>
    <row r="69" spans="1:22" x14ac:dyDescent="0.25">
      <c r="A69" s="4"/>
      <c r="B69" s="4"/>
      <c r="C69" s="3"/>
      <c r="D69" s="1"/>
      <c r="E69" s="1"/>
      <c r="J69" s="8"/>
      <c r="L69" s="2"/>
      <c r="M69" s="2"/>
      <c r="T69" s="7"/>
      <c r="U69" s="1"/>
      <c r="V69" s="1"/>
    </row>
    <row r="70" spans="1:22" x14ac:dyDescent="0.25">
      <c r="A70" s="4"/>
      <c r="B70" s="4"/>
      <c r="C70" s="3"/>
      <c r="D70" s="1"/>
      <c r="E70" s="1"/>
      <c r="J70" s="8"/>
      <c r="L70" s="2"/>
      <c r="M70" s="2"/>
      <c r="T70" s="7"/>
      <c r="U70" s="1"/>
      <c r="V70" s="1"/>
    </row>
    <row r="71" spans="1:22" x14ac:dyDescent="0.25">
      <c r="A71" s="4"/>
      <c r="B71" s="4"/>
      <c r="C71" s="3"/>
      <c r="D71" s="1"/>
      <c r="E71" s="1"/>
      <c r="J71" s="8"/>
      <c r="L71" s="2"/>
      <c r="M71" s="2"/>
      <c r="T71" s="7"/>
      <c r="U71" s="1"/>
      <c r="V71" s="1"/>
    </row>
    <row r="72" spans="1:22" x14ac:dyDescent="0.25">
      <c r="A72" s="4"/>
      <c r="B72" s="4"/>
      <c r="C72" s="3"/>
      <c r="D72" s="1"/>
      <c r="E72" s="1"/>
      <c r="J72" s="8"/>
      <c r="L72" s="2"/>
      <c r="M72" s="2"/>
      <c r="T72" s="7"/>
      <c r="U72" s="1"/>
      <c r="V72" s="1"/>
    </row>
    <row r="73" spans="1:22" x14ac:dyDescent="0.25">
      <c r="A73" s="4"/>
      <c r="B73" s="4"/>
      <c r="C73" s="3"/>
      <c r="D73" s="1"/>
      <c r="E73" s="1"/>
      <c r="J73" s="8"/>
      <c r="L73" s="2"/>
      <c r="M73" s="2"/>
      <c r="T73" s="7"/>
      <c r="U73" s="1"/>
      <c r="V73" s="1"/>
    </row>
    <row r="74" spans="1:22" x14ac:dyDescent="0.25">
      <c r="A74" s="4"/>
      <c r="B74" s="4"/>
      <c r="C74" s="3"/>
      <c r="D74" s="1"/>
      <c r="E74" s="1"/>
      <c r="J74" s="8"/>
      <c r="L74" s="2"/>
      <c r="M74" s="2"/>
      <c r="T74" s="7"/>
      <c r="U74" s="1"/>
      <c r="V74" s="1"/>
    </row>
    <row r="75" spans="1:22" x14ac:dyDescent="0.25">
      <c r="A75" s="4"/>
      <c r="B75" s="4"/>
      <c r="C75" s="3"/>
      <c r="D75" s="1"/>
      <c r="E75" s="1"/>
      <c r="J75" s="8"/>
      <c r="L75" s="2"/>
      <c r="M75" s="2"/>
      <c r="O75" s="1"/>
      <c r="P75" s="1"/>
      <c r="Q75" s="1"/>
      <c r="T75" s="7"/>
      <c r="U75" s="1"/>
      <c r="V75" s="1"/>
    </row>
    <row r="76" spans="1:22" x14ac:dyDescent="0.25">
      <c r="A76" s="4"/>
      <c r="B76" s="4"/>
      <c r="C76" s="3"/>
      <c r="D76" s="1"/>
      <c r="E76" s="1"/>
      <c r="J76" s="8"/>
      <c r="L76" s="2"/>
      <c r="M76" s="2"/>
      <c r="P76" s="1"/>
      <c r="Q76" s="1"/>
      <c r="T76" s="7"/>
      <c r="U76" s="1"/>
      <c r="V76" s="1"/>
    </row>
    <row r="77" spans="1:22" x14ac:dyDescent="0.25">
      <c r="A77" s="4"/>
      <c r="B77" s="4"/>
      <c r="C77" s="3"/>
      <c r="D77" s="1"/>
      <c r="E77" s="1"/>
      <c r="J77" s="8"/>
      <c r="L77" s="2"/>
      <c r="M77" s="2"/>
      <c r="O77" s="1"/>
      <c r="P77" s="1"/>
      <c r="Q77" s="1"/>
      <c r="T77" s="7"/>
      <c r="U77" s="1"/>
      <c r="V77" s="1"/>
    </row>
    <row r="78" spans="1:22" x14ac:dyDescent="0.25">
      <c r="A78" s="4"/>
      <c r="B78" s="4"/>
      <c r="C78" s="3"/>
      <c r="D78" s="1"/>
      <c r="E78" s="1"/>
      <c r="J78" s="8"/>
      <c r="L78" s="2"/>
      <c r="M78" s="2"/>
      <c r="T78" s="7"/>
      <c r="U78" s="1"/>
      <c r="V78" s="1"/>
    </row>
    <row r="79" spans="1:22" x14ac:dyDescent="0.25">
      <c r="A79" s="4"/>
      <c r="B79" s="4"/>
      <c r="C79" s="3"/>
      <c r="D79" s="1"/>
      <c r="E79" s="1"/>
      <c r="J79" s="8"/>
      <c r="L79" s="2"/>
      <c r="M79" s="2"/>
      <c r="T79" s="7"/>
      <c r="U79" s="1"/>
      <c r="V79" s="1"/>
    </row>
    <row r="80" spans="1:22" x14ac:dyDescent="0.25">
      <c r="A80" s="4"/>
      <c r="B80" s="4"/>
      <c r="C80" s="3"/>
      <c r="D80" s="1"/>
      <c r="E80" s="1"/>
      <c r="J80" s="8"/>
      <c r="L80" s="2"/>
      <c r="M80" s="2"/>
      <c r="T80" s="7"/>
      <c r="U80" s="1"/>
      <c r="V80" s="1"/>
    </row>
    <row r="81" spans="1:22" x14ac:dyDescent="0.25">
      <c r="A81" s="4"/>
      <c r="B81" s="4"/>
      <c r="C81" s="3"/>
      <c r="D81" s="1"/>
      <c r="E81" s="1"/>
      <c r="J81" s="8"/>
      <c r="L81" s="2"/>
      <c r="M81" s="2"/>
      <c r="T81" s="7"/>
      <c r="U81" s="1"/>
      <c r="V81" s="1"/>
    </row>
    <row r="82" spans="1:22" x14ac:dyDescent="0.25">
      <c r="A82" s="4"/>
      <c r="B82" s="4"/>
      <c r="C82" s="3"/>
      <c r="D82" s="1"/>
      <c r="E82" s="1"/>
      <c r="J82" s="8"/>
      <c r="L82" s="2"/>
      <c r="M82" s="2"/>
      <c r="T82" s="7"/>
      <c r="U82" s="1"/>
      <c r="V82" s="1"/>
    </row>
    <row r="83" spans="1:22" x14ac:dyDescent="0.25">
      <c r="A83" s="4"/>
      <c r="B83" s="4"/>
      <c r="C83" s="3"/>
      <c r="D83" s="1"/>
      <c r="E83" s="1"/>
      <c r="J83" s="8"/>
      <c r="L83" s="2"/>
      <c r="M83" s="2"/>
      <c r="P83" s="1"/>
      <c r="Q83" s="1"/>
      <c r="T83" s="7"/>
      <c r="U83" s="1"/>
      <c r="V83" s="1"/>
    </row>
    <row r="84" spans="1:22" x14ac:dyDescent="0.25">
      <c r="A84" s="4"/>
      <c r="B84" s="4"/>
      <c r="C84" s="3"/>
      <c r="D84" s="1"/>
      <c r="E84" s="1"/>
      <c r="J84" s="8"/>
      <c r="L84" s="2"/>
      <c r="M84" s="2"/>
      <c r="O84" s="1"/>
      <c r="P84" s="1"/>
      <c r="Q84" s="1"/>
      <c r="T84" s="7"/>
      <c r="U84" s="1"/>
      <c r="V84" s="1"/>
    </row>
    <row r="85" spans="1:22" x14ac:dyDescent="0.25">
      <c r="A85" s="4"/>
      <c r="B85" s="4"/>
      <c r="C85" s="3"/>
      <c r="D85" s="1"/>
      <c r="E85" s="1"/>
      <c r="J85" s="8"/>
      <c r="L85" s="2"/>
      <c r="M85" s="2"/>
      <c r="P85" s="1"/>
      <c r="Q85" s="1"/>
      <c r="T85" s="7"/>
      <c r="U85" s="1"/>
      <c r="V85" s="1"/>
    </row>
    <row r="86" spans="1:22" x14ac:dyDescent="0.25">
      <c r="A86" s="4"/>
      <c r="B86" s="4"/>
      <c r="C86" s="3"/>
      <c r="D86" s="1"/>
      <c r="E86" s="1"/>
      <c r="J86" s="8"/>
      <c r="L86" s="2"/>
      <c r="M86" s="2"/>
      <c r="O86" s="1"/>
      <c r="P86" s="1"/>
      <c r="Q86" s="1"/>
      <c r="T86" s="7"/>
      <c r="U86" s="1"/>
      <c r="V86" s="1"/>
    </row>
    <row r="87" spans="1:22" x14ac:dyDescent="0.25">
      <c r="A87" s="4"/>
      <c r="B87" s="4"/>
      <c r="C87" s="3"/>
      <c r="D87" s="1"/>
      <c r="E87" s="1"/>
      <c r="J87" s="8"/>
      <c r="L87" s="2"/>
      <c r="M87" s="2"/>
      <c r="T87" s="7"/>
      <c r="U87" s="1"/>
      <c r="V87" s="1"/>
    </row>
    <row r="88" spans="1:22" x14ac:dyDescent="0.25">
      <c r="A88" s="4"/>
      <c r="B88" s="4"/>
      <c r="C88" s="3"/>
      <c r="D88" s="1"/>
      <c r="E88" s="1"/>
      <c r="J88" s="8"/>
      <c r="L88" s="2"/>
      <c r="M88" s="2"/>
      <c r="T88" s="7"/>
      <c r="U88" s="1"/>
      <c r="V88" s="1"/>
    </row>
    <row r="89" spans="1:22" x14ac:dyDescent="0.25">
      <c r="A89" s="4"/>
      <c r="B89" s="4"/>
      <c r="C89" s="3"/>
      <c r="D89" s="1"/>
      <c r="E89" s="1"/>
      <c r="J89" s="8"/>
      <c r="L89" s="12"/>
      <c r="M89" s="2"/>
      <c r="O89" s="1"/>
      <c r="T89" s="7"/>
      <c r="U89" s="1"/>
      <c r="V89" s="1"/>
    </row>
    <row r="90" spans="1:22" x14ac:dyDescent="0.25">
      <c r="A90" s="4"/>
      <c r="B90" s="4"/>
      <c r="C90" s="3"/>
      <c r="D90" s="1"/>
      <c r="E90" s="1"/>
      <c r="J90" s="8"/>
      <c r="L90" s="2"/>
      <c r="M90" s="2"/>
      <c r="T90" s="7"/>
      <c r="U90" s="1"/>
      <c r="V90" s="1"/>
    </row>
    <row r="91" spans="1:22" x14ac:dyDescent="0.25">
      <c r="A91" s="4"/>
      <c r="B91" s="4"/>
      <c r="C91" s="3"/>
      <c r="D91" s="1"/>
      <c r="E91" s="1"/>
      <c r="J91" s="8"/>
      <c r="L91" s="2"/>
      <c r="M91" s="2"/>
      <c r="T91" s="7"/>
      <c r="U91" s="1"/>
      <c r="V91" s="1"/>
    </row>
    <row r="92" spans="1:22" x14ac:dyDescent="0.25">
      <c r="A92" s="4"/>
      <c r="B92" s="4"/>
      <c r="C92" s="3"/>
      <c r="D92" s="1"/>
      <c r="E92" s="1"/>
      <c r="J92" s="8"/>
      <c r="L92" s="2"/>
      <c r="M92" s="2"/>
      <c r="O92" s="1"/>
      <c r="P92" s="1"/>
      <c r="Q92" s="1"/>
      <c r="T92" s="7"/>
      <c r="U92" s="1"/>
      <c r="V92" s="1"/>
    </row>
    <row r="93" spans="1:22" x14ac:dyDescent="0.25">
      <c r="A93" s="4"/>
      <c r="B93" s="4"/>
      <c r="C93" s="3"/>
      <c r="D93" s="1"/>
      <c r="E93" s="1"/>
      <c r="J93" s="8"/>
      <c r="L93" s="2"/>
      <c r="M93" s="2"/>
      <c r="T93" s="7"/>
      <c r="U93" s="1"/>
      <c r="V93" s="1"/>
    </row>
    <row r="94" spans="1:22" x14ac:dyDescent="0.25">
      <c r="A94" s="4"/>
      <c r="B94" s="4"/>
      <c r="C94" s="3"/>
      <c r="D94" s="1"/>
      <c r="E94" s="1"/>
      <c r="J94" s="8"/>
      <c r="L94" s="2"/>
      <c r="M94" s="2"/>
      <c r="T94" s="7"/>
      <c r="U94" s="1"/>
      <c r="V94" s="1"/>
    </row>
    <row r="95" spans="1:22" x14ac:dyDescent="0.25">
      <c r="A95" s="4"/>
      <c r="B95" s="4"/>
      <c r="C95" s="3"/>
      <c r="D95" s="1"/>
      <c r="E95" s="1"/>
      <c r="J95" s="8"/>
      <c r="L95" s="2"/>
      <c r="M95" s="2"/>
      <c r="O95" s="1"/>
      <c r="P95" s="1"/>
      <c r="Q95" s="1"/>
      <c r="T95" s="7"/>
      <c r="U95" s="1"/>
      <c r="V95" s="1"/>
    </row>
    <row r="96" spans="1:22" x14ac:dyDescent="0.25">
      <c r="A96" s="4"/>
      <c r="B96" s="4"/>
      <c r="C96" s="3"/>
      <c r="D96" s="1"/>
      <c r="E96" s="1"/>
      <c r="J96" s="8"/>
      <c r="L96" s="2"/>
      <c r="M96" s="2"/>
      <c r="T96" s="7"/>
      <c r="U96" s="1"/>
      <c r="V96" s="1"/>
    </row>
    <row r="97" spans="1:22" x14ac:dyDescent="0.25">
      <c r="A97" s="4"/>
      <c r="B97" s="4"/>
      <c r="C97" s="3"/>
      <c r="D97" s="1"/>
      <c r="E97" s="1"/>
      <c r="J97" s="8"/>
      <c r="L97" s="2"/>
      <c r="M97" s="2"/>
      <c r="T97" s="7"/>
      <c r="U97" s="1"/>
      <c r="V97" s="1"/>
    </row>
    <row r="98" spans="1:22" x14ac:dyDescent="0.25">
      <c r="A98" s="4"/>
      <c r="B98" s="4"/>
      <c r="C98" s="3"/>
      <c r="D98" s="1"/>
      <c r="E98" s="1"/>
      <c r="J98" s="8"/>
      <c r="L98" s="2"/>
      <c r="M98" s="2"/>
      <c r="O98" s="1"/>
      <c r="P98" s="1"/>
      <c r="Q98" s="1"/>
      <c r="T98" s="7"/>
      <c r="U98" s="1"/>
      <c r="V98" s="1"/>
    </row>
    <row r="99" spans="1:22" x14ac:dyDescent="0.25">
      <c r="A99" s="4"/>
      <c r="B99" s="4"/>
      <c r="C99" s="3"/>
      <c r="D99" s="1"/>
      <c r="E99" s="1"/>
      <c r="J99" s="8"/>
      <c r="L99" s="2"/>
      <c r="M99" s="2"/>
      <c r="T99" s="7"/>
      <c r="U99" s="1"/>
      <c r="V99" s="1"/>
    </row>
    <row r="100" spans="1:22" x14ac:dyDescent="0.25">
      <c r="A100" s="4"/>
      <c r="B100" s="4"/>
      <c r="C100" s="3"/>
      <c r="D100" s="1"/>
      <c r="E100" s="1"/>
      <c r="J100" s="8"/>
      <c r="L100" s="2"/>
      <c r="M100" s="2"/>
      <c r="O100" s="1"/>
      <c r="P100" s="1"/>
      <c r="Q100" s="1"/>
      <c r="T100" s="7"/>
      <c r="U100" s="1"/>
      <c r="V100" s="1"/>
    </row>
    <row r="101" spans="1:22" x14ac:dyDescent="0.25">
      <c r="A101" s="4"/>
      <c r="B101" s="4"/>
      <c r="C101" s="3"/>
      <c r="D101" s="1"/>
      <c r="E101" s="1"/>
      <c r="J101" s="8"/>
      <c r="L101" s="2"/>
      <c r="M101" s="2"/>
      <c r="T101" s="7"/>
      <c r="U101" s="1"/>
      <c r="V101" s="1"/>
    </row>
    <row r="102" spans="1:22" x14ac:dyDescent="0.25">
      <c r="A102" s="4"/>
      <c r="B102" s="4"/>
      <c r="C102" s="3"/>
      <c r="D102" s="1"/>
      <c r="E102" s="1"/>
      <c r="J102" s="8"/>
      <c r="L102" s="2"/>
      <c r="M102" s="2"/>
      <c r="T102" s="7"/>
      <c r="U102" s="1"/>
      <c r="V102" s="1"/>
    </row>
    <row r="103" spans="1:22" x14ac:dyDescent="0.25">
      <c r="A103" s="4"/>
      <c r="B103" s="4"/>
      <c r="C103" s="3"/>
      <c r="D103" s="1"/>
      <c r="E103" s="1"/>
      <c r="J103" s="8"/>
      <c r="L103" s="2"/>
      <c r="M103" s="2"/>
      <c r="T103" s="7"/>
      <c r="U103" s="1"/>
      <c r="V103" s="1"/>
    </row>
    <row r="104" spans="1:22" x14ac:dyDescent="0.25">
      <c r="A104" s="4"/>
      <c r="B104" s="4"/>
      <c r="C104" s="3"/>
      <c r="D104" s="1"/>
      <c r="E104" s="1"/>
      <c r="J104" s="8"/>
      <c r="L104" s="2"/>
      <c r="M104" s="2"/>
      <c r="T104" s="7"/>
      <c r="U104" s="1"/>
      <c r="V104" s="1"/>
    </row>
    <row r="105" spans="1:22" x14ac:dyDescent="0.25">
      <c r="A105" s="4"/>
      <c r="B105" s="4"/>
      <c r="C105" s="3"/>
      <c r="D105" s="1"/>
      <c r="E105" s="1"/>
      <c r="J105" s="8"/>
      <c r="L105" s="2"/>
      <c r="M105" s="2"/>
      <c r="P105" s="1"/>
      <c r="Q105" s="1"/>
      <c r="T105" s="7"/>
      <c r="U105" s="1"/>
      <c r="V105" s="1"/>
    </row>
    <row r="106" spans="1:22" x14ac:dyDescent="0.25">
      <c r="A106" s="4"/>
      <c r="B106" s="4"/>
      <c r="C106" s="3"/>
      <c r="D106" s="1"/>
      <c r="E106" s="1"/>
      <c r="J106" s="8"/>
      <c r="L106" s="2"/>
      <c r="M106" s="2"/>
      <c r="T106" s="7"/>
      <c r="U106" s="1"/>
      <c r="V106" s="1"/>
    </row>
    <row r="107" spans="1:22" x14ac:dyDescent="0.25">
      <c r="A107" s="4"/>
      <c r="B107" s="4"/>
      <c r="C107" s="3"/>
      <c r="D107" s="1"/>
      <c r="E107" s="1"/>
      <c r="J107" s="8"/>
      <c r="L107" s="2"/>
      <c r="M107" s="2"/>
      <c r="O107" s="1"/>
      <c r="P107" s="1"/>
      <c r="Q107" s="1"/>
      <c r="T107" s="7"/>
      <c r="U107" s="1"/>
      <c r="V107" s="1"/>
    </row>
    <row r="108" spans="1:22" x14ac:dyDescent="0.25">
      <c r="A108" s="4"/>
      <c r="B108" s="4"/>
      <c r="C108" s="3"/>
      <c r="D108" s="1"/>
      <c r="E108" s="1"/>
      <c r="J108" s="8"/>
      <c r="L108" s="2"/>
      <c r="M108" s="2"/>
      <c r="O108" s="1"/>
      <c r="P108" s="1"/>
      <c r="Q108" s="1"/>
      <c r="T108" s="7"/>
      <c r="U108" s="1"/>
      <c r="V108" s="1"/>
    </row>
    <row r="109" spans="1:22" x14ac:dyDescent="0.25">
      <c r="A109" s="4"/>
      <c r="B109" s="4"/>
      <c r="C109" s="3"/>
      <c r="D109" s="1"/>
      <c r="E109" s="1"/>
      <c r="J109" s="8"/>
      <c r="L109" s="2"/>
      <c r="M109" s="2"/>
      <c r="P109" s="1"/>
      <c r="Q109" s="1"/>
      <c r="T109" s="7"/>
      <c r="U109" s="1"/>
      <c r="V109" s="1"/>
    </row>
    <row r="110" spans="1:22" x14ac:dyDescent="0.25">
      <c r="A110" s="4"/>
      <c r="B110" s="4"/>
      <c r="C110" s="3"/>
      <c r="D110" s="1"/>
      <c r="E110" s="1"/>
      <c r="J110" s="8"/>
      <c r="L110" s="2"/>
      <c r="M110" s="2"/>
      <c r="T110" s="7"/>
      <c r="U110" s="1"/>
      <c r="V110" s="1"/>
    </row>
    <row r="111" spans="1:22" x14ac:dyDescent="0.25">
      <c r="A111" s="4"/>
      <c r="B111" s="4"/>
      <c r="C111" s="3"/>
      <c r="D111" s="1"/>
      <c r="E111" s="1"/>
      <c r="J111" s="8"/>
      <c r="L111" s="2"/>
      <c r="M111" s="2"/>
      <c r="O111" s="1"/>
      <c r="P111" s="1"/>
      <c r="Q111" s="1"/>
      <c r="T111" s="7"/>
      <c r="U111" s="1"/>
      <c r="V111" s="1"/>
    </row>
    <row r="112" spans="1:22" x14ac:dyDescent="0.25">
      <c r="A112" s="4"/>
      <c r="B112" s="4"/>
      <c r="C112" s="3"/>
      <c r="D112" s="1"/>
      <c r="E112" s="1"/>
      <c r="J112" s="8"/>
      <c r="L112" s="2"/>
      <c r="M112" s="2"/>
      <c r="T112" s="7"/>
      <c r="U112" s="1"/>
      <c r="V112" s="1"/>
    </row>
    <row r="113" spans="1:22" x14ac:dyDescent="0.25">
      <c r="A113" s="4"/>
      <c r="B113" s="4"/>
      <c r="C113" s="3"/>
      <c r="D113" s="1"/>
      <c r="E113" s="1"/>
      <c r="J113" s="8"/>
      <c r="L113" s="2"/>
      <c r="M113" s="2"/>
      <c r="T113" s="7"/>
      <c r="U113" s="1"/>
      <c r="V113" s="1"/>
    </row>
    <row r="114" spans="1:22" x14ac:dyDescent="0.25">
      <c r="A114" s="4"/>
      <c r="B114" s="4"/>
      <c r="C114" s="3"/>
      <c r="D114" s="1"/>
      <c r="E114" s="1"/>
      <c r="J114" s="8"/>
      <c r="L114" s="2"/>
      <c r="M114" s="2"/>
      <c r="P114" s="1"/>
      <c r="Q114" s="1"/>
      <c r="R114" s="1"/>
      <c r="T114" s="7"/>
      <c r="U114" s="1"/>
      <c r="V114" s="1"/>
    </row>
    <row r="115" spans="1:22" x14ac:dyDescent="0.25">
      <c r="A115" s="4"/>
      <c r="B115" s="4"/>
      <c r="C115" s="3"/>
      <c r="D115" s="1"/>
      <c r="E115" s="1"/>
      <c r="J115" s="8"/>
      <c r="L115" s="2"/>
      <c r="M115" s="2"/>
      <c r="T115" s="7"/>
      <c r="U115" s="1"/>
      <c r="V115" s="1"/>
    </row>
    <row r="116" spans="1:22" x14ac:dyDescent="0.25">
      <c r="A116" s="4"/>
      <c r="B116" s="4"/>
      <c r="C116" s="3"/>
      <c r="D116" s="1"/>
      <c r="E116" s="1"/>
      <c r="J116" s="8"/>
      <c r="L116" s="2"/>
      <c r="M116" s="2"/>
      <c r="T116" s="7"/>
      <c r="U116" s="1"/>
      <c r="V116" s="1"/>
    </row>
    <row r="117" spans="1:22" x14ac:dyDescent="0.25">
      <c r="A117" s="4"/>
      <c r="B117" s="4"/>
      <c r="C117" s="3"/>
      <c r="D117" s="1"/>
      <c r="E117" s="1"/>
      <c r="J117" s="8"/>
      <c r="L117" s="2"/>
      <c r="M117" s="2"/>
      <c r="T117" s="7"/>
      <c r="U117" s="1"/>
      <c r="V117" s="1"/>
    </row>
    <row r="118" spans="1:22" x14ac:dyDescent="0.25">
      <c r="A118" s="4"/>
      <c r="B118" s="4"/>
      <c r="C118" s="3"/>
      <c r="D118" s="1"/>
      <c r="E118" s="1"/>
      <c r="J118" s="16"/>
      <c r="L118" s="2"/>
      <c r="M118" s="2"/>
      <c r="T118" s="7"/>
      <c r="U118" s="1"/>
      <c r="V118" s="1"/>
    </row>
    <row r="119" spans="1:22" x14ac:dyDescent="0.25">
      <c r="A119" s="4"/>
      <c r="B119" s="4"/>
      <c r="C119" s="3"/>
      <c r="D119" s="1"/>
      <c r="E119" s="1"/>
      <c r="J119" s="8"/>
      <c r="L119" s="2"/>
      <c r="M119" s="2"/>
      <c r="P119" s="1"/>
      <c r="T119" s="7"/>
      <c r="U119" s="1"/>
      <c r="V119" s="1"/>
    </row>
    <row r="120" spans="1:22" x14ac:dyDescent="0.25">
      <c r="A120" s="4"/>
      <c r="B120" s="4"/>
      <c r="C120" s="3"/>
      <c r="D120" s="1"/>
      <c r="E120" s="1"/>
      <c r="J120" s="8"/>
      <c r="L120" s="2"/>
      <c r="M120" s="2"/>
      <c r="P120" s="1"/>
      <c r="Q120" s="1"/>
      <c r="T120" s="7"/>
      <c r="U120" s="1"/>
      <c r="V120" s="1"/>
    </row>
    <row r="121" spans="1:22" x14ac:dyDescent="0.25">
      <c r="A121" s="4"/>
      <c r="B121" s="4"/>
      <c r="C121" s="3"/>
      <c r="D121" s="1"/>
      <c r="E121" s="1"/>
      <c r="J121" s="8"/>
      <c r="L121" s="2"/>
      <c r="M121" s="2"/>
      <c r="P121" s="1"/>
      <c r="T121" s="7"/>
      <c r="U121" s="1"/>
      <c r="V121" s="1"/>
    </row>
    <row r="122" spans="1:22" x14ac:dyDescent="0.25">
      <c r="A122" s="4"/>
      <c r="B122" s="4"/>
      <c r="C122" s="3"/>
      <c r="D122" s="1"/>
      <c r="E122" s="1"/>
      <c r="J122" s="8"/>
      <c r="L122" s="2"/>
      <c r="M122" s="2"/>
      <c r="T122" s="7"/>
      <c r="U122" s="1"/>
      <c r="V122" s="1"/>
    </row>
    <row r="123" spans="1:22" x14ac:dyDescent="0.25">
      <c r="A123" s="4"/>
      <c r="B123" s="4"/>
      <c r="C123" s="3"/>
      <c r="D123" s="1"/>
      <c r="E123" s="1"/>
      <c r="J123" s="8"/>
      <c r="L123" s="2"/>
      <c r="M123" s="2"/>
      <c r="T123" s="7"/>
      <c r="U123" s="1"/>
      <c r="V123" s="1"/>
    </row>
    <row r="124" spans="1:22" x14ac:dyDescent="0.25">
      <c r="A124" s="4"/>
      <c r="B124" s="4"/>
      <c r="C124" s="3"/>
      <c r="D124" s="1"/>
      <c r="E124" s="1"/>
      <c r="J124" s="8"/>
      <c r="L124" s="2"/>
      <c r="M124" s="2"/>
      <c r="T124" s="7"/>
      <c r="U124" s="1"/>
      <c r="V124" s="1"/>
    </row>
    <row r="125" spans="1:22" x14ac:dyDescent="0.25">
      <c r="A125" s="4"/>
      <c r="B125" s="4"/>
      <c r="C125" s="3"/>
      <c r="D125" s="1"/>
      <c r="E125" s="1"/>
      <c r="J125" s="8"/>
      <c r="L125" s="2"/>
      <c r="M125" s="2"/>
      <c r="O125" s="1"/>
      <c r="P125" s="1"/>
      <c r="Q125" s="1"/>
      <c r="T125" s="7"/>
      <c r="U125" s="1"/>
      <c r="V125" s="1"/>
    </row>
    <row r="126" spans="1:22" x14ac:dyDescent="0.25">
      <c r="A126" s="4"/>
      <c r="B126" s="4"/>
      <c r="C126" s="3"/>
      <c r="D126" s="1"/>
      <c r="E126" s="1"/>
      <c r="J126" s="8"/>
      <c r="L126" s="2"/>
      <c r="M126" s="2"/>
      <c r="O126" s="1"/>
      <c r="P126" s="1"/>
      <c r="Q126" s="1"/>
      <c r="T126" s="7"/>
      <c r="U126" s="1"/>
      <c r="V126" s="1"/>
    </row>
    <row r="127" spans="1:22" x14ac:dyDescent="0.25">
      <c r="A127" s="4"/>
      <c r="B127" s="4"/>
      <c r="C127" s="3"/>
      <c r="D127" s="1"/>
      <c r="E127" s="1"/>
      <c r="J127" s="8"/>
      <c r="L127" s="2"/>
      <c r="M127" s="2"/>
      <c r="T127" s="7"/>
      <c r="U127" s="1"/>
      <c r="V127" s="1"/>
    </row>
    <row r="128" spans="1:22" x14ac:dyDescent="0.25">
      <c r="A128" s="4"/>
      <c r="B128" s="4"/>
      <c r="C128" s="3"/>
      <c r="D128" s="1"/>
      <c r="E128" s="1"/>
      <c r="J128" s="8"/>
      <c r="L128" s="2"/>
      <c r="M128" s="2"/>
      <c r="T128" s="7"/>
      <c r="U128" s="1"/>
      <c r="V128" s="1"/>
    </row>
    <row r="129" spans="1:22" x14ac:dyDescent="0.25">
      <c r="A129" s="4"/>
      <c r="B129" s="4"/>
      <c r="C129" s="3"/>
      <c r="D129" s="1"/>
      <c r="E129" s="1"/>
      <c r="J129" s="8"/>
      <c r="L129" s="2"/>
      <c r="M129" s="2"/>
      <c r="T129" s="7"/>
      <c r="U129" s="1"/>
      <c r="V129" s="1"/>
    </row>
    <row r="130" spans="1:22" x14ac:dyDescent="0.25">
      <c r="A130" s="4"/>
      <c r="B130" s="4"/>
      <c r="C130" s="3"/>
      <c r="D130" s="1"/>
      <c r="E130" s="1"/>
      <c r="J130" s="8"/>
      <c r="L130" s="2"/>
      <c r="M130" s="2"/>
      <c r="P130" s="1"/>
      <c r="Q130" s="1"/>
      <c r="T130" s="7"/>
      <c r="U130" s="1"/>
      <c r="V130" s="1"/>
    </row>
    <row r="131" spans="1:22" x14ac:dyDescent="0.25">
      <c r="A131" s="4"/>
      <c r="B131" s="4"/>
      <c r="C131" s="3"/>
      <c r="D131" s="1"/>
      <c r="E131" s="1"/>
      <c r="J131" s="8"/>
      <c r="L131" s="2"/>
      <c r="M131" s="2"/>
      <c r="T131" s="7"/>
      <c r="U131" s="1"/>
      <c r="V131" s="1"/>
    </row>
    <row r="132" spans="1:22" x14ac:dyDescent="0.25">
      <c r="A132" s="4"/>
      <c r="B132" s="4"/>
      <c r="C132" s="3"/>
      <c r="D132" s="1"/>
      <c r="E132" s="1"/>
      <c r="J132" s="8"/>
      <c r="L132" s="2"/>
      <c r="M132" s="2"/>
      <c r="O132" s="1"/>
      <c r="P132" s="1"/>
      <c r="Q132" s="1"/>
      <c r="T132" s="7"/>
      <c r="U132" s="1"/>
      <c r="V132" s="1"/>
    </row>
    <row r="133" spans="1:22" x14ac:dyDescent="0.25">
      <c r="A133" s="4"/>
      <c r="B133" s="4"/>
      <c r="C133" s="3"/>
      <c r="D133" s="1"/>
      <c r="E133" s="1"/>
      <c r="J133" s="8"/>
      <c r="L133" s="2"/>
      <c r="M133" s="2"/>
      <c r="T133" s="7"/>
      <c r="U133" s="1"/>
      <c r="V133" s="1"/>
    </row>
    <row r="134" spans="1:22" x14ac:dyDescent="0.25">
      <c r="A134" s="4"/>
      <c r="B134" s="4"/>
      <c r="C134" s="3"/>
      <c r="D134" s="1"/>
      <c r="E134" s="1"/>
      <c r="J134" s="8"/>
      <c r="L134" s="2"/>
      <c r="M134" s="2"/>
      <c r="T134" s="7"/>
      <c r="U134" s="1"/>
      <c r="V134" s="1"/>
    </row>
    <row r="135" spans="1:22" x14ac:dyDescent="0.25">
      <c r="A135" s="4"/>
      <c r="B135" s="4"/>
      <c r="C135" s="3"/>
      <c r="D135" s="1"/>
      <c r="E135" s="1"/>
      <c r="J135" s="8"/>
      <c r="L135" s="2"/>
      <c r="M135" s="2"/>
      <c r="T135" s="7"/>
      <c r="U135" s="1"/>
      <c r="V135" s="1"/>
    </row>
    <row r="136" spans="1:22" x14ac:dyDescent="0.25">
      <c r="A136" s="4"/>
      <c r="B136" s="4"/>
      <c r="C136" s="3"/>
      <c r="D136" s="1"/>
      <c r="E136" s="1"/>
      <c r="J136" s="8"/>
      <c r="L136" s="2"/>
      <c r="M136" s="2"/>
      <c r="T136" s="7"/>
      <c r="U136" s="1"/>
      <c r="V136" s="1"/>
    </row>
    <row r="137" spans="1:22" x14ac:dyDescent="0.25">
      <c r="A137" s="4"/>
      <c r="B137" s="4"/>
      <c r="C137" s="3"/>
      <c r="D137" s="1"/>
      <c r="E137" s="1"/>
      <c r="J137" s="8"/>
      <c r="L137" s="2"/>
      <c r="M137" s="2"/>
      <c r="T137" s="7"/>
      <c r="U137" s="1"/>
      <c r="V137" s="1"/>
    </row>
    <row r="138" spans="1:22" x14ac:dyDescent="0.25">
      <c r="A138" s="4"/>
      <c r="B138" s="4"/>
      <c r="C138" s="3"/>
      <c r="D138" s="1"/>
      <c r="E138" s="1"/>
      <c r="J138" s="8"/>
      <c r="L138" s="2"/>
      <c r="M138" s="2"/>
      <c r="P138" s="1"/>
      <c r="T138" s="7"/>
      <c r="U138" s="1"/>
      <c r="V138" s="1"/>
    </row>
    <row r="139" spans="1:22" x14ac:dyDescent="0.25">
      <c r="A139" s="4"/>
      <c r="B139" s="4"/>
      <c r="C139" s="3"/>
      <c r="D139" s="1"/>
      <c r="E139" s="1"/>
      <c r="J139" s="8"/>
      <c r="L139" s="2"/>
      <c r="M139" s="2"/>
      <c r="T139" s="7"/>
      <c r="U139" s="1"/>
      <c r="V139" s="1"/>
    </row>
    <row r="140" spans="1:22" x14ac:dyDescent="0.25">
      <c r="A140" s="4"/>
      <c r="B140" s="4"/>
      <c r="C140" s="3"/>
      <c r="D140" s="1"/>
      <c r="E140" s="1"/>
      <c r="J140" s="8"/>
      <c r="L140" s="2"/>
      <c r="M140" s="2"/>
      <c r="T140" s="7"/>
      <c r="U140" s="1"/>
      <c r="V140" s="1"/>
    </row>
    <row r="141" spans="1:22" x14ac:dyDescent="0.25">
      <c r="A141" s="4"/>
      <c r="B141" s="4"/>
      <c r="C141" s="3"/>
      <c r="D141" s="1"/>
      <c r="E141" s="1"/>
      <c r="J141" s="8"/>
      <c r="L141" s="2"/>
      <c r="M141" s="2"/>
      <c r="T141" s="7"/>
      <c r="U141" s="1"/>
      <c r="V141" s="1"/>
    </row>
    <row r="142" spans="1:22" x14ac:dyDescent="0.25">
      <c r="A142" s="4"/>
      <c r="B142" s="4"/>
      <c r="C142" s="3"/>
      <c r="D142" s="1"/>
      <c r="E142" s="1"/>
      <c r="J142" s="8"/>
      <c r="L142" s="2"/>
      <c r="M142" s="2"/>
      <c r="O142" s="1"/>
      <c r="P142" s="1"/>
      <c r="Q142" s="1"/>
      <c r="R142" s="1"/>
      <c r="T142" s="7"/>
      <c r="U142" s="1"/>
      <c r="V142" s="1"/>
    </row>
    <row r="143" spans="1:22" x14ac:dyDescent="0.25">
      <c r="A143" s="4"/>
      <c r="B143" s="4"/>
      <c r="C143" s="3"/>
      <c r="D143" s="1"/>
      <c r="E143" s="1"/>
      <c r="J143" s="8"/>
      <c r="L143" s="2"/>
      <c r="M143" s="2"/>
      <c r="T143" s="7"/>
      <c r="U143" s="1"/>
      <c r="V143" s="1"/>
    </row>
    <row r="144" spans="1:22" x14ac:dyDescent="0.25">
      <c r="A144" s="4"/>
      <c r="B144" s="4"/>
      <c r="C144" s="3"/>
      <c r="D144" s="1"/>
      <c r="E144" s="1"/>
      <c r="J144" s="8"/>
      <c r="L144" s="2"/>
      <c r="M144" s="2"/>
      <c r="T144" s="7"/>
      <c r="U144" s="1"/>
      <c r="V144" s="1"/>
    </row>
    <row r="145" spans="1:22" x14ac:dyDescent="0.25">
      <c r="A145" s="4"/>
      <c r="B145" s="4"/>
      <c r="C145" s="3"/>
      <c r="D145" s="1"/>
      <c r="E145" s="1"/>
      <c r="J145" s="8"/>
      <c r="L145" s="2"/>
      <c r="M145" s="2"/>
      <c r="O145" s="1"/>
      <c r="P145" s="1"/>
      <c r="Q145" s="1"/>
      <c r="T145" s="7"/>
      <c r="U145" s="1"/>
      <c r="V145" s="1"/>
    </row>
    <row r="146" spans="1:22" x14ac:dyDescent="0.25">
      <c r="A146" s="4"/>
      <c r="B146" s="4"/>
      <c r="C146" s="3"/>
      <c r="D146" s="1"/>
      <c r="E146" s="1"/>
      <c r="J146" s="8"/>
      <c r="L146" s="2"/>
      <c r="M146" s="2"/>
      <c r="O146" s="1"/>
      <c r="P146" s="1"/>
      <c r="Q146" s="1"/>
      <c r="T146" s="7"/>
      <c r="U146" s="1"/>
      <c r="V146" s="1"/>
    </row>
    <row r="147" spans="1:22" x14ac:dyDescent="0.25">
      <c r="A147" s="4"/>
      <c r="B147" s="4"/>
      <c r="C147" s="3"/>
      <c r="D147" s="1"/>
      <c r="E147" s="1"/>
      <c r="J147" s="8"/>
      <c r="L147" s="2"/>
      <c r="M147" s="2"/>
      <c r="T147" s="7"/>
      <c r="U147" s="1"/>
      <c r="V147" s="1"/>
    </row>
    <row r="148" spans="1:22" x14ac:dyDescent="0.25">
      <c r="A148" s="4"/>
      <c r="B148" s="4"/>
      <c r="C148" s="3"/>
      <c r="D148" s="1"/>
      <c r="E148" s="1"/>
      <c r="J148" s="8"/>
      <c r="L148" s="2"/>
      <c r="M148" s="2"/>
      <c r="T148" s="7"/>
      <c r="U148" s="1"/>
      <c r="V148" s="1"/>
    </row>
    <row r="149" spans="1:22" x14ac:dyDescent="0.25">
      <c r="A149" s="4"/>
      <c r="B149" s="4"/>
      <c r="C149" s="3"/>
      <c r="D149" s="1"/>
      <c r="E149" s="1"/>
      <c r="J149" s="8"/>
      <c r="L149" s="2"/>
      <c r="M149" s="2"/>
      <c r="O149" s="1"/>
      <c r="P149" s="1"/>
      <c r="Q149" s="1"/>
      <c r="T149" s="7"/>
      <c r="U149" s="1"/>
      <c r="V149" s="1"/>
    </row>
    <row r="150" spans="1:22" x14ac:dyDescent="0.25">
      <c r="A150" s="4"/>
      <c r="B150" s="4"/>
      <c r="C150" s="3"/>
      <c r="D150" s="1"/>
      <c r="E150" s="1"/>
      <c r="J150" s="8"/>
      <c r="L150" s="2"/>
      <c r="M150" s="2"/>
      <c r="O150" s="1"/>
      <c r="P150" s="1"/>
      <c r="Q150" s="1"/>
      <c r="T150" s="7"/>
      <c r="U150" s="1"/>
      <c r="V150" s="1"/>
    </row>
    <row r="151" spans="1:22" x14ac:dyDescent="0.25">
      <c r="A151" s="4"/>
      <c r="B151" s="4"/>
      <c r="C151" s="3"/>
      <c r="D151" s="1"/>
      <c r="E151" s="1"/>
      <c r="J151" s="8"/>
      <c r="L151" s="2"/>
      <c r="M151" s="2"/>
      <c r="T151" s="7"/>
      <c r="U151" s="1"/>
      <c r="V151" s="1"/>
    </row>
    <row r="152" spans="1:22" x14ac:dyDescent="0.25">
      <c r="A152" s="4"/>
      <c r="B152" s="4"/>
      <c r="C152" s="3"/>
      <c r="D152" s="1"/>
      <c r="E152" s="1"/>
      <c r="J152" s="8"/>
      <c r="L152" s="2"/>
      <c r="M152" s="2"/>
      <c r="T152" s="7"/>
      <c r="U152" s="1"/>
      <c r="V152" s="1"/>
    </row>
    <row r="153" spans="1:22" x14ac:dyDescent="0.25">
      <c r="A153" s="4"/>
      <c r="B153" s="4"/>
      <c r="C153" s="3"/>
      <c r="D153" s="1"/>
      <c r="E153" s="1"/>
      <c r="J153" s="8"/>
      <c r="L153" s="2"/>
      <c r="M153" s="2"/>
      <c r="T153" s="7"/>
      <c r="U153" s="1"/>
      <c r="V153" s="1"/>
    </row>
    <row r="154" spans="1:22" x14ac:dyDescent="0.25">
      <c r="A154" s="4"/>
      <c r="B154" s="4"/>
      <c r="C154" s="3"/>
      <c r="D154" s="1"/>
      <c r="E154" s="1"/>
      <c r="J154" s="8"/>
      <c r="L154" s="2"/>
      <c r="M154" s="2"/>
      <c r="T154" s="7"/>
      <c r="U154" s="1"/>
      <c r="V154" s="1"/>
    </row>
    <row r="155" spans="1:22" x14ac:dyDescent="0.25">
      <c r="A155" s="4"/>
      <c r="B155" s="4"/>
      <c r="C155" s="3"/>
      <c r="D155" s="1"/>
      <c r="E155" s="1"/>
      <c r="J155" s="8"/>
      <c r="L155" s="2"/>
      <c r="M155" s="2"/>
      <c r="O155" s="1"/>
      <c r="P155" s="1"/>
      <c r="Q155" s="1"/>
      <c r="T155" s="7"/>
      <c r="U155" s="1"/>
      <c r="V155" s="1"/>
    </row>
    <row r="156" spans="1:22" x14ac:dyDescent="0.25">
      <c r="A156" s="4"/>
      <c r="B156" s="4"/>
      <c r="C156" s="3"/>
      <c r="D156" s="1"/>
      <c r="E156" s="1"/>
      <c r="J156" s="8"/>
      <c r="L156" s="2"/>
      <c r="M156" s="2"/>
      <c r="T156" s="7"/>
      <c r="U156" s="1"/>
      <c r="V156" s="1"/>
    </row>
    <row r="157" spans="1:22" x14ac:dyDescent="0.25">
      <c r="A157" s="4"/>
      <c r="B157" s="4"/>
      <c r="C157" s="3"/>
      <c r="D157" s="1"/>
      <c r="E157" s="1"/>
      <c r="J157" s="8"/>
      <c r="L157" s="2"/>
      <c r="M157" s="2"/>
      <c r="T157" s="7"/>
      <c r="U157" s="1"/>
      <c r="V157" s="1"/>
    </row>
    <row r="158" spans="1:22" x14ac:dyDescent="0.25">
      <c r="A158" s="4"/>
      <c r="B158" s="4"/>
      <c r="C158" s="3"/>
      <c r="D158" s="1"/>
      <c r="E158" s="1"/>
      <c r="J158" s="8"/>
      <c r="L158" s="2"/>
      <c r="M158" s="2"/>
      <c r="T158" s="7"/>
      <c r="U158" s="1"/>
      <c r="V158" s="1"/>
    </row>
    <row r="159" spans="1:22" x14ac:dyDescent="0.25">
      <c r="A159" s="4"/>
      <c r="B159" s="4"/>
      <c r="C159" s="3"/>
      <c r="D159" s="1"/>
      <c r="E159" s="1"/>
      <c r="J159" s="8"/>
      <c r="L159" s="2"/>
      <c r="M159" s="2"/>
      <c r="T159" s="7"/>
      <c r="U159" s="1"/>
      <c r="V159" s="1"/>
    </row>
    <row r="160" spans="1:22" x14ac:dyDescent="0.25">
      <c r="A160" s="4"/>
      <c r="B160" s="4"/>
      <c r="C160" s="3"/>
      <c r="D160" s="1"/>
      <c r="E160" s="1"/>
      <c r="J160" s="8"/>
      <c r="L160" s="2"/>
      <c r="M160" s="2"/>
      <c r="T160" s="7"/>
      <c r="U160" s="1"/>
      <c r="V160" s="1"/>
    </row>
    <row r="161" spans="1:22" x14ac:dyDescent="0.25">
      <c r="A161" s="4"/>
      <c r="B161" s="4"/>
      <c r="C161" s="3"/>
      <c r="D161" s="1"/>
      <c r="E161" s="1"/>
      <c r="J161" s="8"/>
      <c r="L161" s="2"/>
      <c r="M161" s="2"/>
      <c r="T161" s="7"/>
      <c r="U161" s="1"/>
      <c r="V161" s="1"/>
    </row>
    <row r="162" spans="1:22" x14ac:dyDescent="0.25">
      <c r="A162" s="4"/>
      <c r="B162" s="4"/>
      <c r="C162" s="3"/>
      <c r="D162" s="1"/>
      <c r="E162" s="1"/>
      <c r="L162" s="2"/>
      <c r="M162" s="2"/>
      <c r="T162" s="7"/>
      <c r="U162" s="1"/>
      <c r="V162" s="1"/>
    </row>
    <row r="163" spans="1:22" x14ac:dyDescent="0.25">
      <c r="A163" s="4"/>
      <c r="B163" s="4"/>
      <c r="C163" s="3"/>
      <c r="D163" s="1"/>
      <c r="E163" s="1"/>
      <c r="J163" s="8"/>
      <c r="L163" s="2"/>
      <c r="M163" s="2"/>
      <c r="T163" s="7"/>
      <c r="U163" s="1"/>
      <c r="V163" s="1"/>
    </row>
    <row r="164" spans="1:22" x14ac:dyDescent="0.25">
      <c r="A164" s="4"/>
      <c r="B164" s="4"/>
      <c r="C164" s="3"/>
      <c r="D164" s="1"/>
      <c r="E164" s="1"/>
      <c r="J164" s="8"/>
      <c r="L164" s="2"/>
      <c r="M164" s="2"/>
      <c r="P164" s="1"/>
      <c r="Q164" s="1"/>
      <c r="T164" s="7"/>
      <c r="U164" s="1"/>
      <c r="V164" s="1"/>
    </row>
    <row r="165" spans="1:22" x14ac:dyDescent="0.25">
      <c r="A165" s="4"/>
      <c r="B165" s="4"/>
      <c r="C165" s="3"/>
      <c r="D165" s="1"/>
      <c r="E165" s="1"/>
      <c r="J165" s="8"/>
      <c r="L165" s="2"/>
      <c r="M165" s="2"/>
      <c r="T165" s="7"/>
      <c r="U165" s="1"/>
      <c r="V165" s="1"/>
    </row>
    <row r="166" spans="1:22" x14ac:dyDescent="0.25">
      <c r="A166" s="4"/>
      <c r="B166" s="4"/>
      <c r="C166" s="3"/>
      <c r="D166" s="1"/>
      <c r="E166" s="1"/>
      <c r="J166" s="8"/>
      <c r="L166" s="2"/>
      <c r="M166" s="2"/>
      <c r="O166" s="1"/>
      <c r="P166" s="1"/>
      <c r="Q166" s="1"/>
      <c r="T166" s="7"/>
      <c r="U166" s="1"/>
      <c r="V166" s="1"/>
    </row>
    <row r="167" spans="1:22" x14ac:dyDescent="0.25">
      <c r="A167" s="4"/>
      <c r="B167" s="4"/>
      <c r="C167" s="3"/>
      <c r="D167" s="1"/>
      <c r="E167" s="1"/>
      <c r="J167" s="8"/>
      <c r="L167" s="2"/>
      <c r="M167" s="2"/>
      <c r="O167" s="1"/>
      <c r="P167" s="1"/>
      <c r="Q167" s="1"/>
      <c r="T167" s="7"/>
      <c r="U167" s="1"/>
      <c r="V167" s="1"/>
    </row>
    <row r="168" spans="1:22" x14ac:dyDescent="0.25">
      <c r="A168" s="4"/>
      <c r="B168" s="4"/>
      <c r="C168" s="3"/>
      <c r="D168" s="1"/>
      <c r="E168" s="1"/>
      <c r="J168" s="8"/>
      <c r="L168" s="2"/>
      <c r="M168" s="2"/>
      <c r="P168" s="1"/>
      <c r="T168" s="7"/>
      <c r="U168" s="1"/>
      <c r="V168" s="1"/>
    </row>
    <row r="169" spans="1:22" x14ac:dyDescent="0.25">
      <c r="A169" s="4"/>
      <c r="B169" s="4"/>
      <c r="C169" s="3"/>
      <c r="D169" s="1"/>
      <c r="E169" s="1"/>
      <c r="J169" s="8"/>
      <c r="L169" s="2"/>
      <c r="M169" s="2"/>
      <c r="T169" s="7"/>
      <c r="U169" s="1"/>
      <c r="V169" s="1"/>
    </row>
    <row r="170" spans="1:22" x14ac:dyDescent="0.25">
      <c r="A170" s="4"/>
      <c r="B170" s="4"/>
      <c r="C170" s="3"/>
      <c r="D170" s="1"/>
      <c r="E170" s="1"/>
      <c r="J170" s="8"/>
      <c r="L170" s="2"/>
      <c r="M170" s="2"/>
      <c r="O170" s="1"/>
      <c r="P170" s="1"/>
      <c r="Q170" s="1"/>
      <c r="T170" s="7"/>
      <c r="U170" s="1"/>
      <c r="V170" s="1"/>
    </row>
    <row r="171" spans="1:22" x14ac:dyDescent="0.25">
      <c r="A171" s="4"/>
      <c r="B171" s="4"/>
      <c r="C171" s="3"/>
      <c r="D171" s="1"/>
      <c r="E171" s="1"/>
      <c r="L171" s="2"/>
      <c r="M171" s="2"/>
      <c r="T171" s="7"/>
      <c r="U171" s="1"/>
      <c r="V171" s="1"/>
    </row>
    <row r="172" spans="1:22" x14ac:dyDescent="0.25">
      <c r="A172" s="4"/>
      <c r="B172" s="4"/>
      <c r="C172" s="3"/>
      <c r="D172" s="1"/>
      <c r="E172" s="1"/>
      <c r="J172" s="8"/>
      <c r="L172" s="2"/>
      <c r="M172" s="2"/>
      <c r="O172" s="1"/>
      <c r="P172" s="1"/>
      <c r="Q172" s="1"/>
      <c r="T172" s="7"/>
      <c r="U172" s="1"/>
      <c r="V172" s="1"/>
    </row>
    <row r="173" spans="1:22" x14ac:dyDescent="0.25">
      <c r="A173" s="4"/>
      <c r="B173" s="4"/>
      <c r="C173" s="3"/>
      <c r="D173" s="1"/>
      <c r="E173" s="1"/>
      <c r="L173" s="2"/>
      <c r="M173" s="2"/>
      <c r="T173" s="7"/>
      <c r="U173" s="1"/>
      <c r="V173" s="1"/>
    </row>
    <row r="174" spans="1:22" x14ac:dyDescent="0.25">
      <c r="A174" s="4"/>
      <c r="B174" s="4"/>
      <c r="C174" s="3"/>
      <c r="D174" s="1"/>
      <c r="E174" s="1"/>
      <c r="L174" s="2"/>
      <c r="M174" s="2"/>
      <c r="T174" s="7"/>
      <c r="U174" s="1"/>
      <c r="V174" s="1"/>
    </row>
    <row r="175" spans="1:22" x14ac:dyDescent="0.25">
      <c r="A175" s="4"/>
      <c r="B175" s="4"/>
      <c r="C175" s="3"/>
      <c r="D175" s="1"/>
      <c r="E175" s="1"/>
      <c r="J175" s="8"/>
      <c r="L175" s="2"/>
      <c r="M175" s="2"/>
      <c r="O175" s="1"/>
      <c r="P175" s="1"/>
      <c r="Q175" s="1"/>
      <c r="T175" s="7"/>
      <c r="U175" s="1"/>
      <c r="V175" s="1"/>
    </row>
    <row r="176" spans="1:22" x14ac:dyDescent="0.25">
      <c r="A176" s="4"/>
      <c r="B176" s="4"/>
      <c r="C176" s="3"/>
      <c r="D176" s="1"/>
      <c r="E176" s="1"/>
      <c r="J176" s="8"/>
      <c r="L176" s="2"/>
      <c r="M176" s="2"/>
      <c r="P176" s="1"/>
      <c r="Q176" s="1"/>
      <c r="T176" s="7"/>
      <c r="U176" s="1"/>
      <c r="V176" s="1"/>
    </row>
    <row r="177" spans="1:22" x14ac:dyDescent="0.25">
      <c r="A177" s="4"/>
      <c r="B177" s="4"/>
      <c r="C177" s="3"/>
      <c r="D177" s="1"/>
      <c r="E177" s="1"/>
      <c r="J177" s="8"/>
      <c r="L177" s="2"/>
      <c r="M177" s="2"/>
      <c r="O177" s="1"/>
      <c r="P177" s="1"/>
      <c r="Q177" s="1"/>
      <c r="T177" s="7"/>
      <c r="U177" s="1"/>
      <c r="V177" s="1"/>
    </row>
    <row r="178" spans="1:22" x14ac:dyDescent="0.25">
      <c r="A178" s="4"/>
      <c r="B178" s="4"/>
      <c r="C178" s="3"/>
      <c r="D178" s="1"/>
      <c r="E178" s="1"/>
      <c r="J178" s="8"/>
      <c r="L178" s="2"/>
      <c r="M178" s="2"/>
      <c r="O178" s="1"/>
      <c r="P178" s="1"/>
      <c r="Q178" s="1"/>
      <c r="T178" s="7"/>
      <c r="U178" s="1"/>
      <c r="V178" s="1"/>
    </row>
    <row r="179" spans="1:22" x14ac:dyDescent="0.25">
      <c r="A179" s="4"/>
      <c r="B179" s="4"/>
      <c r="C179" s="3"/>
      <c r="D179" s="1"/>
      <c r="E179" s="1"/>
      <c r="J179" s="8"/>
      <c r="L179" s="2"/>
      <c r="M179" s="2"/>
      <c r="P179" s="1"/>
      <c r="T179" s="7"/>
      <c r="U179" s="1"/>
      <c r="V179" s="1"/>
    </row>
    <row r="180" spans="1:22" x14ac:dyDescent="0.25">
      <c r="A180" s="4"/>
      <c r="B180" s="4"/>
      <c r="C180" s="3"/>
      <c r="D180" s="1"/>
      <c r="E180" s="1"/>
      <c r="J180" s="8"/>
      <c r="L180" s="2"/>
      <c r="M180" s="2"/>
      <c r="O180" s="1"/>
      <c r="P180" s="1"/>
      <c r="Q180" s="1"/>
      <c r="T180" s="7"/>
      <c r="U180" s="1"/>
      <c r="V180" s="1"/>
    </row>
    <row r="181" spans="1:22" x14ac:dyDescent="0.25">
      <c r="A181" s="4"/>
      <c r="B181" s="4"/>
      <c r="C181" s="3"/>
      <c r="D181" s="1"/>
      <c r="E181" s="1"/>
      <c r="J181" s="8"/>
      <c r="L181" s="2"/>
      <c r="M181" s="2"/>
      <c r="P181" s="1"/>
      <c r="Q181" s="1"/>
      <c r="T181" s="7"/>
      <c r="U181" s="1"/>
      <c r="V181" s="1"/>
    </row>
    <row r="182" spans="1:22" x14ac:dyDescent="0.25">
      <c r="A182" s="4"/>
      <c r="B182" s="4"/>
      <c r="C182" s="3"/>
      <c r="D182" s="1"/>
      <c r="E182" s="1"/>
      <c r="J182" s="8"/>
      <c r="L182" s="2"/>
      <c r="M182" s="2"/>
      <c r="O182" s="1"/>
      <c r="P182" s="1"/>
      <c r="Q182" s="1"/>
      <c r="T182" s="7"/>
      <c r="U182" s="1"/>
      <c r="V182" s="1"/>
    </row>
    <row r="183" spans="1:22" x14ac:dyDescent="0.25">
      <c r="A183" s="4"/>
      <c r="B183" s="4"/>
      <c r="C183" s="3"/>
      <c r="D183" s="1"/>
      <c r="E183" s="1"/>
      <c r="J183" s="8"/>
      <c r="L183" s="2"/>
      <c r="M183" s="2"/>
      <c r="O183" s="1"/>
      <c r="P183" s="1"/>
      <c r="Q183" s="1"/>
      <c r="T183" s="7"/>
      <c r="U183" s="1"/>
      <c r="V183" s="1"/>
    </row>
    <row r="184" spans="1:22" x14ac:dyDescent="0.25">
      <c r="A184" s="4"/>
      <c r="B184" s="4"/>
      <c r="C184" s="3"/>
      <c r="D184" s="1"/>
      <c r="E184" s="1"/>
      <c r="J184" s="8"/>
      <c r="L184" s="2"/>
      <c r="M184" s="2"/>
      <c r="O184" s="1"/>
      <c r="T184" s="7"/>
      <c r="U184" s="1"/>
      <c r="V184" s="1"/>
    </row>
    <row r="185" spans="1:22" x14ac:dyDescent="0.25">
      <c r="A185" s="4"/>
      <c r="B185" s="4"/>
      <c r="C185" s="3"/>
      <c r="D185" s="1"/>
      <c r="E185" s="1"/>
      <c r="J185" s="8"/>
      <c r="L185" s="2"/>
      <c r="M185" s="2"/>
      <c r="T185" s="7"/>
      <c r="U185" s="1"/>
      <c r="V185" s="1"/>
    </row>
    <row r="186" spans="1:22" x14ac:dyDescent="0.25">
      <c r="A186" s="4"/>
      <c r="B186" s="4"/>
      <c r="C186" s="3"/>
      <c r="D186" s="1"/>
      <c r="E186" s="1"/>
      <c r="J186" s="8"/>
      <c r="L186" s="2"/>
      <c r="M186" s="2"/>
      <c r="O186" s="1"/>
      <c r="P186" s="1"/>
      <c r="Q186" s="1"/>
      <c r="T186" s="7"/>
      <c r="U186" s="1"/>
      <c r="V186" s="1"/>
    </row>
    <row r="187" spans="1:22" x14ac:dyDescent="0.25">
      <c r="A187" s="4"/>
      <c r="B187" s="4"/>
      <c r="C187" s="3"/>
      <c r="D187" s="1"/>
      <c r="E187" s="1"/>
      <c r="J187" s="8"/>
      <c r="L187" s="2"/>
      <c r="M187" s="2"/>
      <c r="O187" s="1"/>
      <c r="P187" s="1"/>
      <c r="Q187" s="1"/>
      <c r="T187" s="7"/>
      <c r="U187" s="1"/>
      <c r="V187" s="1"/>
    </row>
    <row r="188" spans="1:22" x14ac:dyDescent="0.25">
      <c r="A188" s="4"/>
      <c r="B188" s="4"/>
      <c r="C188" s="3"/>
      <c r="D188" s="1"/>
      <c r="E188" s="1"/>
      <c r="J188" s="8"/>
      <c r="L188" s="2"/>
      <c r="M188" s="2"/>
      <c r="P188" s="1"/>
      <c r="Q188" s="1"/>
      <c r="T188" s="7"/>
      <c r="U188" s="1"/>
      <c r="V188" s="1"/>
    </row>
    <row r="189" spans="1:22" x14ac:dyDescent="0.25">
      <c r="A189" s="4"/>
      <c r="B189" s="4"/>
      <c r="C189" s="3"/>
      <c r="D189" s="1"/>
      <c r="E189" s="1"/>
      <c r="J189" s="8"/>
      <c r="L189" s="2"/>
      <c r="M189" s="2"/>
      <c r="T189" s="7"/>
      <c r="U189" s="1"/>
      <c r="V189" s="1"/>
    </row>
    <row r="190" spans="1:22" x14ac:dyDescent="0.25">
      <c r="A190" s="4"/>
      <c r="B190" s="4"/>
      <c r="C190" s="3"/>
      <c r="D190" s="1"/>
      <c r="E190" s="1"/>
      <c r="J190" s="8"/>
      <c r="L190" s="2"/>
      <c r="M190" s="2"/>
      <c r="O190" s="1"/>
      <c r="P190" s="1"/>
      <c r="Q190" s="1"/>
      <c r="T190" s="7"/>
      <c r="U190" s="1"/>
      <c r="V190" s="1"/>
    </row>
    <row r="191" spans="1:22" x14ac:dyDescent="0.25">
      <c r="A191" s="4"/>
      <c r="B191" s="4"/>
      <c r="C191" s="3"/>
      <c r="D191" s="1"/>
      <c r="E191" s="1"/>
      <c r="J191" s="8"/>
      <c r="L191" s="2"/>
      <c r="M191" s="2"/>
      <c r="P191" s="1"/>
      <c r="Q191" s="1"/>
      <c r="T191" s="7"/>
      <c r="U191" s="1"/>
      <c r="V191" s="1"/>
    </row>
    <row r="192" spans="1:22" x14ac:dyDescent="0.25">
      <c r="A192" s="4"/>
      <c r="B192" s="4"/>
      <c r="C192" s="3"/>
      <c r="D192" s="1"/>
      <c r="E192" s="1"/>
      <c r="J192" s="8"/>
      <c r="L192" s="2"/>
      <c r="M192" s="2"/>
      <c r="T192" s="7"/>
      <c r="U192" s="1"/>
      <c r="V192" s="1"/>
    </row>
    <row r="193" spans="1:22" x14ac:dyDescent="0.25">
      <c r="A193" s="4"/>
      <c r="B193" s="4"/>
      <c r="C193" s="3"/>
      <c r="D193" s="1"/>
      <c r="E193" s="1"/>
      <c r="J193" s="8"/>
      <c r="L193" s="2"/>
      <c r="M193" s="2"/>
      <c r="T193" s="7"/>
      <c r="U193" s="1"/>
      <c r="V193" s="1"/>
    </row>
    <row r="194" spans="1:22" x14ac:dyDescent="0.25">
      <c r="A194" s="4"/>
      <c r="B194" s="4"/>
      <c r="C194" s="3"/>
      <c r="D194" s="1"/>
      <c r="E194" s="1"/>
      <c r="J194" s="8"/>
      <c r="L194" s="2"/>
      <c r="M194" s="2"/>
      <c r="T194" s="7"/>
      <c r="U194" s="1"/>
      <c r="V194" s="1"/>
    </row>
    <row r="195" spans="1:22" x14ac:dyDescent="0.25">
      <c r="A195" s="4"/>
      <c r="B195" s="4"/>
      <c r="C195" s="3"/>
      <c r="D195" s="1"/>
      <c r="E195" s="1"/>
      <c r="J195" s="8"/>
      <c r="L195" s="2"/>
      <c r="M195" s="2"/>
      <c r="T195" s="7"/>
      <c r="U195" s="1"/>
      <c r="V195" s="1"/>
    </row>
    <row r="196" spans="1:22" x14ac:dyDescent="0.25">
      <c r="A196" s="4"/>
      <c r="B196" s="4"/>
      <c r="C196" s="3"/>
      <c r="D196" s="1"/>
      <c r="E196" s="1"/>
      <c r="J196" s="8"/>
      <c r="L196" s="2"/>
      <c r="M196" s="2"/>
      <c r="T196" s="7"/>
      <c r="U196" s="1"/>
      <c r="V196" s="1"/>
    </row>
    <row r="197" spans="1:22" x14ac:dyDescent="0.25">
      <c r="A197" s="4"/>
      <c r="B197" s="4"/>
      <c r="C197" s="3"/>
      <c r="D197" s="1"/>
      <c r="E197" s="1"/>
      <c r="J197" s="8"/>
      <c r="L197" s="2"/>
      <c r="M197" s="2"/>
      <c r="P197" s="1"/>
      <c r="T197" s="7"/>
      <c r="U197" s="1"/>
      <c r="V197" s="1"/>
    </row>
    <row r="198" spans="1:22" x14ac:dyDescent="0.25">
      <c r="A198" s="4"/>
      <c r="B198" s="4"/>
      <c r="C198" s="3"/>
      <c r="D198" s="1"/>
      <c r="E198" s="1"/>
      <c r="J198" s="8"/>
      <c r="L198" s="2"/>
      <c r="M198" s="2"/>
      <c r="T198" s="7"/>
      <c r="U198" s="1"/>
      <c r="V198" s="1"/>
    </row>
    <row r="199" spans="1:22" x14ac:dyDescent="0.25">
      <c r="A199" s="4"/>
      <c r="B199" s="4"/>
      <c r="C199" s="3"/>
      <c r="D199" s="1"/>
      <c r="E199" s="1"/>
      <c r="J199" s="8"/>
      <c r="L199" s="2"/>
      <c r="M199" s="2"/>
      <c r="T199" s="7"/>
      <c r="U199" s="1"/>
      <c r="V199" s="1"/>
    </row>
    <row r="200" spans="1:22" x14ac:dyDescent="0.25">
      <c r="A200" s="4"/>
      <c r="B200" s="4"/>
      <c r="C200" s="3"/>
      <c r="D200" s="1"/>
      <c r="E200" s="1"/>
      <c r="J200" s="8"/>
      <c r="L200" s="2"/>
      <c r="M200" s="2"/>
      <c r="O200" s="1"/>
      <c r="P200" s="1"/>
      <c r="Q200" s="1"/>
      <c r="T200" s="7"/>
      <c r="U200" s="1"/>
      <c r="V200" s="1"/>
    </row>
    <row r="201" spans="1:22" x14ac:dyDescent="0.25">
      <c r="A201" s="4"/>
      <c r="B201" s="4"/>
      <c r="C201" s="3"/>
      <c r="D201" s="1"/>
      <c r="E201" s="1"/>
      <c r="J201" s="8"/>
      <c r="L201" s="2"/>
      <c r="M201" s="2"/>
      <c r="T201" s="7"/>
      <c r="U201" s="1"/>
      <c r="V201" s="1"/>
    </row>
    <row r="202" spans="1:22" x14ac:dyDescent="0.25">
      <c r="A202" s="4"/>
      <c r="B202" s="4"/>
      <c r="C202" s="3"/>
      <c r="D202" s="1"/>
      <c r="E202" s="1"/>
      <c r="J202" s="8"/>
      <c r="L202" s="2"/>
      <c r="M202" s="2"/>
      <c r="O202" s="1"/>
      <c r="P202" s="1"/>
      <c r="Q202" s="1"/>
      <c r="T202" s="7"/>
      <c r="U202" s="1"/>
      <c r="V202" s="1"/>
    </row>
    <row r="203" spans="1:22" x14ac:dyDescent="0.25">
      <c r="A203" s="4"/>
      <c r="B203" s="4"/>
      <c r="C203" s="3"/>
      <c r="D203" s="1"/>
      <c r="E203" s="1"/>
      <c r="J203" s="8"/>
      <c r="L203" s="2"/>
      <c r="M203" s="2"/>
      <c r="O203" s="1"/>
      <c r="P203" s="1"/>
      <c r="Q203" s="1"/>
      <c r="T203" s="7"/>
      <c r="U203" s="1"/>
      <c r="V203" s="1"/>
    </row>
    <row r="204" spans="1:22" x14ac:dyDescent="0.25">
      <c r="A204" s="4"/>
      <c r="B204" s="4"/>
      <c r="C204" s="3"/>
      <c r="D204" s="1"/>
      <c r="E204" s="1"/>
      <c r="J204" s="8"/>
      <c r="L204" s="2"/>
      <c r="M204" s="2"/>
      <c r="O204" s="1"/>
      <c r="P204" s="1"/>
      <c r="Q204" s="1"/>
      <c r="T204" s="7"/>
      <c r="U204" s="1"/>
      <c r="V204" s="1"/>
    </row>
    <row r="205" spans="1:22" x14ac:dyDescent="0.25">
      <c r="A205" s="4"/>
      <c r="B205" s="4"/>
      <c r="C205" s="3"/>
      <c r="D205" s="1"/>
      <c r="E205" s="1"/>
      <c r="J205" s="8"/>
      <c r="L205" s="2"/>
      <c r="M205" s="2"/>
      <c r="P205" s="1"/>
      <c r="Q205" s="1"/>
      <c r="T205" s="7"/>
      <c r="U205" s="1"/>
      <c r="V205" s="1"/>
    </row>
    <row r="206" spans="1:22" x14ac:dyDescent="0.25">
      <c r="A206" s="4"/>
      <c r="B206" s="4"/>
      <c r="C206" s="3"/>
      <c r="D206" s="1"/>
      <c r="E206" s="1"/>
      <c r="J206" s="8"/>
      <c r="L206" s="2"/>
      <c r="M206" s="2"/>
      <c r="T206" s="7"/>
      <c r="U206" s="1"/>
      <c r="V206" s="1"/>
    </row>
    <row r="207" spans="1:22" x14ac:dyDescent="0.25">
      <c r="A207" s="4"/>
      <c r="B207" s="4"/>
      <c r="C207" s="3"/>
      <c r="D207" s="1"/>
      <c r="E207" s="1"/>
      <c r="J207" s="8"/>
      <c r="L207" s="2"/>
      <c r="M207" s="2"/>
      <c r="O207" s="1"/>
      <c r="P207" s="1"/>
      <c r="Q207" s="1"/>
      <c r="T207" s="7"/>
      <c r="U207" s="1"/>
      <c r="V207" s="1"/>
    </row>
    <row r="208" spans="1:22" x14ac:dyDescent="0.25">
      <c r="A208" s="4"/>
      <c r="B208" s="4"/>
      <c r="C208" s="3"/>
      <c r="D208" s="1"/>
      <c r="E208" s="1"/>
      <c r="J208" s="8"/>
      <c r="L208" s="2"/>
      <c r="M208" s="2"/>
      <c r="T208" s="7"/>
      <c r="U208" s="1"/>
      <c r="V208" s="1"/>
    </row>
    <row r="209" spans="1:22" x14ac:dyDescent="0.25">
      <c r="A209" s="4"/>
      <c r="B209" s="4"/>
      <c r="C209" s="3"/>
      <c r="D209" s="1"/>
      <c r="E209" s="1"/>
      <c r="J209" s="8"/>
      <c r="L209" s="2"/>
      <c r="M209" s="2"/>
      <c r="T209" s="7"/>
      <c r="U209" s="1"/>
      <c r="V209" s="1"/>
    </row>
    <row r="210" spans="1:22" x14ac:dyDescent="0.25">
      <c r="A210" s="4"/>
      <c r="B210" s="4"/>
      <c r="C210" s="3"/>
      <c r="D210" s="1"/>
      <c r="E210" s="1"/>
      <c r="J210" s="8"/>
      <c r="L210" s="2"/>
      <c r="M210" s="2"/>
      <c r="T210" s="7"/>
      <c r="U210" s="1"/>
      <c r="V210" s="1"/>
    </row>
    <row r="211" spans="1:22" x14ac:dyDescent="0.25">
      <c r="A211" s="4"/>
      <c r="B211" s="4"/>
      <c r="C211" s="3"/>
      <c r="D211" s="1"/>
      <c r="E211" s="1"/>
      <c r="J211" s="8"/>
      <c r="L211" s="2"/>
      <c r="M211" s="2"/>
      <c r="T211" s="7"/>
      <c r="U211" s="1"/>
      <c r="V211" s="1"/>
    </row>
    <row r="212" spans="1:22" x14ac:dyDescent="0.25">
      <c r="A212" s="4"/>
      <c r="B212" s="4"/>
      <c r="C212" s="3"/>
      <c r="D212" s="1"/>
      <c r="E212" s="1"/>
      <c r="J212" s="8"/>
      <c r="L212" s="2"/>
      <c r="M212" s="2"/>
      <c r="T212" s="7"/>
      <c r="U212" s="1"/>
      <c r="V212" s="1"/>
    </row>
    <row r="213" spans="1:22" x14ac:dyDescent="0.25">
      <c r="A213" s="4"/>
      <c r="B213" s="4"/>
      <c r="C213" s="3"/>
      <c r="D213" s="1"/>
      <c r="E213" s="1"/>
      <c r="J213" s="8"/>
      <c r="L213" s="2"/>
      <c r="M213" s="2"/>
      <c r="T213" s="7"/>
      <c r="U213" s="1"/>
      <c r="V213" s="1"/>
    </row>
    <row r="214" spans="1:22" x14ac:dyDescent="0.25">
      <c r="A214" s="4"/>
      <c r="B214" s="4"/>
      <c r="C214" s="3"/>
      <c r="D214" s="1"/>
      <c r="E214" s="1"/>
      <c r="J214" s="8"/>
      <c r="L214" s="2"/>
      <c r="M214" s="2"/>
      <c r="O214" s="1"/>
      <c r="P214" s="1"/>
      <c r="Q214" s="1"/>
      <c r="T214" s="7"/>
      <c r="U214" s="1"/>
      <c r="V214" s="1"/>
    </row>
    <row r="215" spans="1:22" x14ac:dyDescent="0.25">
      <c r="A215" s="4"/>
      <c r="B215" s="4"/>
      <c r="C215" s="3"/>
      <c r="D215" s="1"/>
      <c r="E215" s="1"/>
      <c r="J215" s="8"/>
      <c r="L215" s="2"/>
      <c r="M215" s="2"/>
      <c r="O215" s="1"/>
      <c r="P215" s="1"/>
      <c r="Q215" s="1"/>
      <c r="T215" s="7"/>
      <c r="U215" s="1"/>
      <c r="V215" s="1"/>
    </row>
    <row r="216" spans="1:22" x14ac:dyDescent="0.25">
      <c r="A216" s="4"/>
      <c r="B216" s="4"/>
      <c r="C216" s="3"/>
      <c r="D216" s="1"/>
      <c r="E216" s="1"/>
      <c r="J216" s="8"/>
      <c r="L216" s="2"/>
      <c r="M216" s="2"/>
      <c r="T216" s="7"/>
      <c r="U216" s="1"/>
      <c r="V216" s="1"/>
    </row>
    <row r="217" spans="1:22" x14ac:dyDescent="0.25">
      <c r="A217" s="4"/>
      <c r="B217" s="4"/>
      <c r="C217" s="3"/>
      <c r="D217" s="1"/>
      <c r="E217" s="1"/>
      <c r="J217" s="8"/>
      <c r="L217" s="2"/>
      <c r="M217" s="2"/>
      <c r="T217" s="7"/>
      <c r="U217" s="1"/>
      <c r="V217" s="1"/>
    </row>
    <row r="218" spans="1:22" x14ac:dyDescent="0.25">
      <c r="A218" s="4"/>
      <c r="B218" s="4"/>
      <c r="C218" s="3"/>
      <c r="D218" s="1"/>
      <c r="E218" s="1"/>
      <c r="J218" s="8"/>
      <c r="L218" s="2"/>
      <c r="M218" s="2"/>
      <c r="O218" s="1"/>
      <c r="P218" s="1"/>
      <c r="Q218" s="1"/>
      <c r="T218" s="7"/>
      <c r="U218" s="1"/>
      <c r="V218" s="1"/>
    </row>
    <row r="219" spans="1:22" x14ac:dyDescent="0.25">
      <c r="A219" s="4"/>
      <c r="B219" s="4"/>
      <c r="C219" s="3"/>
      <c r="D219" s="1"/>
      <c r="E219" s="1"/>
      <c r="J219" s="8"/>
      <c r="L219" s="2"/>
      <c r="M219" s="2"/>
      <c r="O219" s="1"/>
      <c r="P219" s="1"/>
      <c r="Q219" s="1"/>
      <c r="R219" s="1"/>
      <c r="T219" s="7"/>
      <c r="U219" s="1"/>
      <c r="V219" s="1"/>
    </row>
    <row r="220" spans="1:22" x14ac:dyDescent="0.25">
      <c r="A220" s="4"/>
      <c r="B220" s="4"/>
      <c r="C220" s="3"/>
      <c r="D220" s="1"/>
      <c r="E220" s="1"/>
      <c r="J220" s="8"/>
      <c r="L220" s="2"/>
      <c r="M220" s="2"/>
      <c r="T220" s="7"/>
      <c r="U220" s="1"/>
      <c r="V220" s="1"/>
    </row>
    <row r="221" spans="1:22" x14ac:dyDescent="0.25">
      <c r="A221" s="4"/>
      <c r="B221" s="4"/>
      <c r="C221" s="3"/>
      <c r="D221" s="1"/>
      <c r="E221" s="1"/>
      <c r="J221" s="8"/>
      <c r="L221" s="2"/>
      <c r="M221" s="2"/>
      <c r="O221" s="1"/>
      <c r="P221" s="1"/>
      <c r="Q221" s="1"/>
      <c r="T221" s="7"/>
      <c r="U221" s="1"/>
      <c r="V221" s="1"/>
    </row>
    <row r="222" spans="1:22" x14ac:dyDescent="0.25">
      <c r="A222" s="4"/>
      <c r="B222" s="4"/>
      <c r="C222" s="3"/>
      <c r="D222" s="1"/>
      <c r="E222" s="1"/>
      <c r="L222" s="2"/>
      <c r="M222" s="2"/>
      <c r="T222" s="7"/>
      <c r="U222" s="1"/>
      <c r="V222" s="1"/>
    </row>
    <row r="223" spans="1:22" x14ac:dyDescent="0.25">
      <c r="A223" s="4"/>
      <c r="B223" s="4"/>
      <c r="C223" s="3"/>
      <c r="D223" s="1"/>
      <c r="E223" s="1"/>
      <c r="L223" s="2"/>
      <c r="M223" s="2"/>
      <c r="T223" s="7"/>
      <c r="U223" s="1"/>
      <c r="V223" s="1"/>
    </row>
    <row r="224" spans="1:22" x14ac:dyDescent="0.25">
      <c r="A224" s="4"/>
      <c r="B224" s="4"/>
      <c r="C224" s="3"/>
      <c r="D224" s="1"/>
      <c r="E224" s="1"/>
      <c r="J224" s="8"/>
      <c r="L224" s="2"/>
      <c r="M224" s="2"/>
      <c r="T224" s="7"/>
      <c r="U224" s="1"/>
      <c r="V224" s="1"/>
    </row>
    <row r="225" spans="1:22" x14ac:dyDescent="0.25">
      <c r="A225" s="4"/>
      <c r="B225" s="4"/>
      <c r="C225" s="3"/>
      <c r="D225" s="1"/>
      <c r="E225" s="1"/>
      <c r="J225" s="8"/>
      <c r="L225" s="2"/>
      <c r="M225" s="2"/>
      <c r="T225" s="7"/>
      <c r="U225" s="1"/>
      <c r="V225" s="1"/>
    </row>
    <row r="226" spans="1:22" x14ac:dyDescent="0.25">
      <c r="A226" s="4"/>
      <c r="B226" s="4"/>
      <c r="C226" s="3"/>
      <c r="D226" s="1"/>
      <c r="E226" s="1"/>
      <c r="J226" s="8"/>
      <c r="L226" s="2"/>
      <c r="M226" s="2"/>
      <c r="O226" s="1"/>
      <c r="P226" s="1"/>
      <c r="Q226" s="1"/>
      <c r="T226" s="7"/>
      <c r="U226" s="1"/>
      <c r="V226" s="1"/>
    </row>
    <row r="227" spans="1:22" x14ac:dyDescent="0.25">
      <c r="A227" s="4"/>
      <c r="B227" s="4"/>
      <c r="C227" s="3"/>
      <c r="D227" s="1"/>
      <c r="E227" s="1"/>
      <c r="J227" s="8"/>
      <c r="L227" s="2"/>
      <c r="M227" s="2"/>
      <c r="T227" s="7"/>
      <c r="U227" s="1"/>
      <c r="V227" s="1"/>
    </row>
    <row r="228" spans="1:22" x14ac:dyDescent="0.25">
      <c r="A228" s="4"/>
      <c r="B228" s="4"/>
      <c r="C228" s="3"/>
      <c r="D228" s="1"/>
      <c r="E228" s="1"/>
      <c r="J228" s="8"/>
      <c r="L228" s="2"/>
      <c r="M228" s="2"/>
      <c r="T228" s="7"/>
      <c r="U228" s="1"/>
      <c r="V228" s="1"/>
    </row>
    <row r="229" spans="1:22" x14ac:dyDescent="0.25">
      <c r="A229" s="4"/>
      <c r="B229" s="4"/>
      <c r="C229" s="3"/>
      <c r="D229" s="1"/>
      <c r="E229" s="1"/>
      <c r="J229" s="8"/>
      <c r="L229" s="2"/>
      <c r="M229" s="2"/>
      <c r="T229" s="7"/>
      <c r="U229" s="1"/>
      <c r="V229" s="1"/>
    </row>
    <row r="230" spans="1:22" x14ac:dyDescent="0.25">
      <c r="A230" s="4"/>
      <c r="B230" s="4"/>
      <c r="C230" s="3"/>
      <c r="D230" s="1"/>
      <c r="E230" s="1"/>
      <c r="J230" s="8"/>
      <c r="L230" s="2"/>
      <c r="M230" s="17"/>
      <c r="T230" s="7"/>
      <c r="U230" s="1"/>
      <c r="V230" s="1"/>
    </row>
    <row r="231" spans="1:22" x14ac:dyDescent="0.25">
      <c r="A231" s="4"/>
      <c r="B231" s="4"/>
      <c r="C231" s="3"/>
      <c r="D231" s="1"/>
      <c r="E231" s="1"/>
      <c r="J231" s="8"/>
      <c r="L231" s="2"/>
      <c r="M231" s="2"/>
      <c r="P231" s="1"/>
      <c r="Q231" s="1"/>
      <c r="T231" s="7"/>
      <c r="U231" s="1"/>
      <c r="V231" s="1"/>
    </row>
    <row r="232" spans="1:22" x14ac:dyDescent="0.25">
      <c r="A232" s="4"/>
      <c r="B232" s="4"/>
      <c r="C232" s="3"/>
      <c r="D232" s="1"/>
      <c r="E232" s="1"/>
      <c r="J232" s="8"/>
      <c r="L232" s="2"/>
      <c r="M232" s="2"/>
      <c r="P232" s="1"/>
      <c r="Q232" s="1"/>
      <c r="T232" s="7"/>
      <c r="U232" s="1"/>
      <c r="V232" s="1"/>
    </row>
    <row r="233" spans="1:22" x14ac:dyDescent="0.25">
      <c r="A233" s="4"/>
      <c r="B233" s="4"/>
      <c r="C233" s="3"/>
      <c r="D233" s="1"/>
      <c r="E233" s="1"/>
      <c r="J233" s="8"/>
      <c r="L233" s="2"/>
      <c r="M233" s="2"/>
      <c r="P233" s="1"/>
      <c r="Q233" s="1"/>
      <c r="T233" s="7"/>
      <c r="U233" s="1"/>
      <c r="V233" s="1"/>
    </row>
    <row r="234" spans="1:22" x14ac:dyDescent="0.25">
      <c r="A234" s="4"/>
      <c r="B234" s="4"/>
      <c r="C234" s="3"/>
      <c r="D234" s="1"/>
      <c r="E234" s="1"/>
      <c r="J234" s="8"/>
      <c r="L234" s="2"/>
      <c r="M234" s="2"/>
      <c r="T234" s="7"/>
      <c r="U234" s="1"/>
      <c r="V234" s="1"/>
    </row>
    <row r="235" spans="1:22" x14ac:dyDescent="0.25">
      <c r="A235" s="4"/>
      <c r="B235" s="4"/>
      <c r="C235" s="3"/>
      <c r="D235" s="1"/>
      <c r="E235" s="1"/>
      <c r="J235" s="8"/>
      <c r="L235" s="2"/>
      <c r="M235" s="2"/>
      <c r="T235" s="7"/>
      <c r="U235" s="1"/>
      <c r="V235" s="1"/>
    </row>
    <row r="236" spans="1:22" x14ac:dyDescent="0.25">
      <c r="A236" s="4"/>
      <c r="B236" s="4"/>
      <c r="C236" s="3"/>
      <c r="D236" s="1"/>
      <c r="E236" s="1"/>
      <c r="J236" s="8"/>
      <c r="L236" s="2"/>
      <c r="M236" s="2"/>
      <c r="T236" s="7"/>
      <c r="U236" s="1"/>
      <c r="V236" s="1"/>
    </row>
    <row r="237" spans="1:22" x14ac:dyDescent="0.25">
      <c r="A237" s="4"/>
      <c r="B237" s="4"/>
      <c r="C237" s="3"/>
      <c r="D237" s="1"/>
      <c r="E237" s="1"/>
      <c r="J237" s="8"/>
      <c r="L237" s="2"/>
      <c r="M237" s="2"/>
      <c r="T237" s="7"/>
      <c r="U237" s="1"/>
      <c r="V237" s="1"/>
    </row>
    <row r="238" spans="1:22" x14ac:dyDescent="0.25">
      <c r="A238" s="4"/>
      <c r="B238" s="4"/>
      <c r="C238" s="3"/>
      <c r="D238" s="1"/>
      <c r="E238" s="1"/>
      <c r="J238" s="8"/>
      <c r="L238" s="2"/>
      <c r="M238" s="2"/>
      <c r="T238" s="7"/>
      <c r="U238" s="1"/>
      <c r="V238" s="1"/>
    </row>
  </sheetData>
  <mergeCells count="2">
    <mergeCell ref="A1:V1"/>
    <mergeCell ref="A2:V2"/>
  </mergeCells>
  <conditionalFormatting sqref="B7">
    <cfRule type="duplicateValues" dxfId="6" priority="7"/>
  </conditionalFormatting>
  <conditionalFormatting sqref="I1:I181 I183:I1048576">
    <cfRule type="duplicateValues" dxfId="5" priority="1"/>
  </conditionalFormatting>
  <conditionalFormatting sqref="I7">
    <cfRule type="duplicateValues" dxfId="4" priority="4"/>
  </conditionalFormatting>
  <conditionalFormatting sqref="I8:I101 I103:I181 I183:I238">
    <cfRule type="duplicateValues" dxfId="3" priority="6"/>
  </conditionalFormatting>
  <conditionalFormatting sqref="I102">
    <cfRule type="duplicateValues" dxfId="2" priority="3"/>
    <cfRule type="duplicateValues" dxfId="1" priority="5"/>
  </conditionalFormatting>
  <conditionalFormatting sqref="I108">
    <cfRule type="duplicateValues" dxfId="0" priority="2"/>
  </conditionalFormatting>
  <dataValidations count="6">
    <dataValidation type="list" allowBlank="1" showInputMessage="1" showErrorMessage="1" sqref="N7" xr:uid="{2D650480-BDE9-40C7-A075-DA26F623396D}">
      <formula1>"Yes,No"</formula1>
    </dataValidation>
    <dataValidation type="list" allowBlank="1" showInputMessage="1" showErrorMessage="1" sqref="S7" xr:uid="{CE50E0D4-4016-444F-8651-8147A6A04CE6}">
      <formula1>"No charge,Cash,PO,Cheque,Online,Showroom"</formula1>
    </dataValidation>
    <dataValidation type="list" allowBlank="1" showInputMessage="1" showErrorMessage="1" sqref="K7" xr:uid="{EF8FF6BC-FA0C-4DEA-836A-D0DCB09C7392}">
      <formula1>"Ainsley,Garvin,Herman,Jessica,Jodec,Joel,Taurean"</formula1>
    </dataValidation>
    <dataValidation type="list" allowBlank="1" showInputMessage="1" showErrorMessage="1" sqref="U21:U238 U7:U19" xr:uid="{0E882191-D7FA-445B-B44F-A4EA711CAB8C}">
      <formula1>"In Progress,Awaiting Parts,Customer rescheduled,Completed"</formula1>
    </dataValidation>
    <dataValidation type="list" allowBlank="1" showInputMessage="1" showErrorMessage="1" sqref="G7" xr:uid="{AD2112ED-D8A9-48AE-BDFE-457146AA1270}">
      <formula1>"Gold,Silver,Bronze,Rental,N/A,ServMaint"</formula1>
    </dataValidation>
    <dataValidation type="list" allowBlank="1" showInputMessage="1" showErrorMessage="1" sqref="F7" xr:uid="{FA942779-AB65-4E04-936C-A9FCB7349C76}">
      <formula1>"PM,Per Call,Install,Re-visit,Warranty,Assessment,Courtesy,Discovery,Issue,Service,PFS,Delivery,Training,Internal"</formula1>
    </dataValidation>
  </dataValidations>
  <pageMargins left="0.7" right="0.7" top="0.75" bottom="0.75" header="0.3" footer="0.3"/>
  <pageSetup orientation="portrait" verticalDpi="12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Sheet2</vt:lpstr>
      <vt:lpstr>Service Type Dist.</vt:lpstr>
      <vt:lpstr>SLA Dist.</vt:lpstr>
      <vt:lpstr>WO Dist. by Tech</vt:lpstr>
      <vt:lpstr>Revenue Breakdown</vt:lpstr>
      <vt:lpstr>Work Order Status</vt:lpstr>
      <vt:lpstr>Weekly WO Dist.</vt:lpstr>
      <vt:lpstr>Payment Breakdown</vt:lpstr>
      <vt:lpstr>Master</vt:lpstr>
      <vt:lpstr>Weekly update</vt:lpstr>
      <vt:lpstr>PrefixMap</vt:lpstr>
      <vt:lpstr>Master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Denys Kowlessar</dc:creator>
  <cp:keywords/>
  <dc:description/>
  <cp:lastModifiedBy>Timothy adams</cp:lastModifiedBy>
  <cp:revision/>
  <cp:lastPrinted>2026-04-02T14:41:22Z</cp:lastPrinted>
  <dcterms:created xsi:type="dcterms:W3CDTF">2021-12-14T11:39:52Z</dcterms:created>
  <dcterms:modified xsi:type="dcterms:W3CDTF">2026-10-09T23:58:12Z</dcterms:modified>
  <cp:category/>
  <cp:contentStatus/>
</cp:coreProperties>
</file>